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" sheetId="1" r:id="rId4"/>
    <sheet state="visible" name="Inventario" sheetId="2" r:id="rId5"/>
    <sheet state="visible" name="Contas - GSuite Google" sheetId="3" r:id="rId6"/>
    <sheet state="visible" name="Diretoria" sheetId="4" r:id="rId7"/>
    <sheet state="visible" name="Compras" sheetId="5" r:id="rId8"/>
    <sheet state="visible" name="SALAS" sheetId="6" r:id="rId9"/>
    <sheet state="visible" name="MAPA" sheetId="7" r:id="rId10"/>
    <sheet state="visible" name="IPS_LAN" sheetId="8" r:id="rId11"/>
    <sheet state="visible" name="Dados" sheetId="9" r:id="rId12"/>
  </sheets>
  <definedNames>
    <definedName localSheetId="2" name="_GoBack">'Contas - GSuite Google'!#REF!</definedName>
    <definedName localSheetId="1" name="_GoBack">Inventario!#REF!</definedName>
    <definedName localSheetId="2" name="dunha">'Contas - GSuite Google'!$B$1:$F$6</definedName>
    <definedName name="impressoras">#REF!</definedName>
    <definedName name="Base">#REF!</definedName>
    <definedName localSheetId="1" name="dunha">Inventario!$B$1:$D$10</definedName>
    <definedName hidden="1" localSheetId="1" name="_xlnm._FilterDatabase">Inventario!$A$1:$T$18</definedName>
    <definedName hidden="1" localSheetId="2" name="_xlnm._FilterDatabase">'Contas - GSuite Google'!$A$1:$F$6</definedName>
  </definedNames>
  <calcPr/>
  <extLst>
    <ext uri="GoogleSheetsCustomDataVersion2">
      <go:sheetsCustomData xmlns:go="http://customooxmlschemas.google.com/" r:id="rId13" roundtripDataChecksum="AgljvF+RzyK/xMvI9WnucFZhq6BbThMaNeYnEvT2Css="/>
    </ext>
  </extLst>
</workbook>
</file>

<file path=xl/sharedStrings.xml><?xml version="1.0" encoding="utf-8"?>
<sst xmlns="http://schemas.openxmlformats.org/spreadsheetml/2006/main" count="897" uniqueCount="549">
  <si>
    <t>CONTAS E ACESSOS</t>
  </si>
  <si>
    <t>SERVERS</t>
  </si>
  <si>
    <t>SERVIDOR</t>
  </si>
  <si>
    <t>FUNÇÃO</t>
  </si>
  <si>
    <t>CONTA</t>
  </si>
  <si>
    <t>SENHA</t>
  </si>
  <si>
    <t>DESCRIÇÃO</t>
  </si>
  <si>
    <t>IP</t>
  </si>
  <si>
    <t>SSPADLD01</t>
  </si>
  <si>
    <t>Autenticação na Rede</t>
  </si>
  <si>
    <t>Administrator</t>
  </si>
  <si>
    <t>$%IB@luzdivin@2023</t>
  </si>
  <si>
    <t>AD / FILE SERVER / ENDPOINT</t>
  </si>
  <si>
    <t>192.168.0.200</t>
  </si>
  <si>
    <t>TELEFONES - RECUPERAÇÃO CONTAS GMAIL</t>
  </si>
  <si>
    <t>NOME</t>
  </si>
  <si>
    <t>TELEFONE</t>
  </si>
  <si>
    <t>NÚMERO</t>
  </si>
  <si>
    <t>SELMA VICENTIM</t>
  </si>
  <si>
    <t>PESSOAL</t>
  </si>
  <si>
    <t>WILLIAN RIGON</t>
  </si>
  <si>
    <t>REGINA NICODEMOS</t>
  </si>
  <si>
    <t>CARLOS AGUILERA</t>
  </si>
  <si>
    <t>AQUISIÇÃO LICENÇAS</t>
  </si>
  <si>
    <t>FORNECEDOR</t>
  </si>
  <si>
    <t>USUÁRIO/E-MAIL</t>
  </si>
  <si>
    <t>SITE</t>
  </si>
  <si>
    <t>BIT DEFENDER</t>
  </si>
  <si>
    <t>ENDPOINT</t>
  </si>
  <si>
    <t>ti@aluzdivina.org.br</t>
  </si>
  <si>
    <t>BitLd@072023</t>
  </si>
  <si>
    <t>https://cloud.gravityzone.bitdefender.com/#?lang=pt_BR</t>
  </si>
  <si>
    <t>Remoção</t>
  </si>
  <si>
    <t>BitLd@2023</t>
  </si>
  <si>
    <t>TECHSOUP</t>
  </si>
  <si>
    <t>LICENÇAS</t>
  </si>
  <si>
    <t>roberto.goto@aluzdivina.org.br</t>
  </si>
  <si>
    <t>ADM@Luz!720</t>
  </si>
  <si>
    <t>https://www.techsoupbrasil.org.br/user/login?destination=homepage_rbf%3Flanguage%3Dpt-br&amp;language=pt-br</t>
  </si>
  <si>
    <t>MICROSOFT</t>
  </si>
  <si>
    <t>Usuário: ALuzDivina</t>
  </si>
  <si>
    <t>ALuzDivina@IBALuzDivina.onmicrosotf.com</t>
  </si>
  <si>
    <t>MSld@2023</t>
  </si>
  <si>
    <t>TI@IBenfALuzDivina.onmicrosoft.com</t>
  </si>
  <si>
    <t>https://www.microsoft.com/licensing/servicecenter/default.aspx</t>
  </si>
  <si>
    <t>Office VLSC</t>
  </si>
  <si>
    <t>goto@aluzdivina.onmicrosoft.com</t>
  </si>
  <si>
    <t>ADM@Luz!720885</t>
  </si>
  <si>
    <t>rmgoto@gmail.com</t>
  </si>
  <si>
    <t>HOSTGATOR</t>
  </si>
  <si>
    <t>HOSPEDAGEM</t>
  </si>
  <si>
    <t>DivLuz1029384756!</t>
  </si>
  <si>
    <t>https://cliente.hostgator.com.br/sites</t>
  </si>
  <si>
    <t>REGISTROBR</t>
  </si>
  <si>
    <t>REGISTRO DOMÍNIOS</t>
  </si>
  <si>
    <t>MARIG19</t>
  </si>
  <si>
    <t>REGld#11@1956@</t>
  </si>
  <si>
    <t>https://registro.br/</t>
  </si>
  <si>
    <t>WORDPRESS - PAINEL</t>
  </si>
  <si>
    <t>SITE - EDIÇÃO</t>
  </si>
  <si>
    <t>Luz</t>
  </si>
  <si>
    <t>https://aluzdivina.org.br/ald-adm/</t>
  </si>
  <si>
    <t>QUANTIDADE</t>
  </si>
  <si>
    <t>SERVIÇO</t>
  </si>
  <si>
    <t>VERSÃO</t>
  </si>
  <si>
    <t>CHAVE DE ATIVAÇÃO</t>
  </si>
  <si>
    <t>BITDEFENDER</t>
  </si>
  <si>
    <t>ANTIVIRUS</t>
  </si>
  <si>
    <t>Bitdefender GravityZone Bus Sec 1-Yr Sub</t>
  </si>
  <si>
    <t>X0QTFS0</t>
  </si>
  <si>
    <t>SISTEMA OPERACIONAL</t>
  </si>
  <si>
    <t>Windows Server 2022 Standard - English</t>
  </si>
  <si>
    <t>PDXHN-XQDTQ-PV9HH-H6TM8-D9QVJ</t>
  </si>
  <si>
    <t>APLICATIVO</t>
  </si>
  <si>
    <t>MS Office 2016 Standard</t>
  </si>
  <si>
    <t>YPN32-GTK64-6DP9J-KHK3Q-RJRJC</t>
  </si>
  <si>
    <t>SERVIÇOS</t>
  </si>
  <si>
    <t>EQUIPAMENTO</t>
  </si>
  <si>
    <t>USUÁRIO</t>
  </si>
  <si>
    <t>LOCALIZAÇÃO</t>
  </si>
  <si>
    <t>IP VÁLIDO</t>
  </si>
  <si>
    <t>MAC ADDRESS</t>
  </si>
  <si>
    <t>MODEM CLARO</t>
  </si>
  <si>
    <t>CLARO_8F2186</t>
  </si>
  <si>
    <t>C4z8X7Vfz8</t>
  </si>
  <si>
    <t>SSID</t>
  </si>
  <si>
    <t>Sala - Divulgação</t>
  </si>
  <si>
    <t>193.186.4.241</t>
  </si>
  <si>
    <t>mMqzrKvRhUrYtHa</t>
  </si>
  <si>
    <t>192.168.0.1</t>
  </si>
  <si>
    <t>WIFI - 02GB</t>
  </si>
  <si>
    <t>IBLD_2.4Ghz</t>
  </si>
  <si>
    <t>Ablv@2022</t>
  </si>
  <si>
    <t>WIFI - 05GB</t>
  </si>
  <si>
    <t>IBLD_5Ghz</t>
  </si>
  <si>
    <t>WIFI - TEMPLO</t>
  </si>
  <si>
    <t>TEMPLO</t>
  </si>
  <si>
    <t>Templo</t>
  </si>
  <si>
    <t>WIFI - SCHEILA</t>
  </si>
  <si>
    <t>IBALD-SHEILLA</t>
  </si>
  <si>
    <t>Corredor - 1º andar</t>
  </si>
  <si>
    <t>WIFI - ENSINO</t>
  </si>
  <si>
    <t>ENSINO</t>
  </si>
  <si>
    <t>Sala - Ensino</t>
  </si>
  <si>
    <t>WIFI - DIVULGAÇÃO</t>
  </si>
  <si>
    <t>DIVULGACAO</t>
  </si>
  <si>
    <t>Divulgação</t>
  </si>
  <si>
    <t>Livraria e Bazar</t>
  </si>
  <si>
    <t>Pargan</t>
  </si>
  <si>
    <t>#Ablv@2020</t>
  </si>
  <si>
    <t>Administrador local (Atribuído por GPO)</t>
  </si>
  <si>
    <t>ANYDESK</t>
  </si>
  <si>
    <t>Concetar - Console</t>
  </si>
  <si>
    <t>IB@luzdivin@</t>
  </si>
  <si>
    <t>Acesso sem restrição</t>
  </si>
  <si>
    <t>SQL</t>
  </si>
  <si>
    <t>Banco de Dados</t>
  </si>
  <si>
    <t>dboANet_600!</t>
  </si>
  <si>
    <t>Senha SQL</t>
  </si>
  <si>
    <t>SISTEMA</t>
  </si>
  <si>
    <t>AREA</t>
  </si>
  <si>
    <t>FINALIDADE</t>
  </si>
  <si>
    <t>TESOURIA</t>
  </si>
  <si>
    <t>ald001</t>
  </si>
  <si>
    <t>Tesouraria</t>
  </si>
  <si>
    <t>Cadastro Associados / Recebimento Doações</t>
  </si>
  <si>
    <t>SILD - SISTEMA ADMINISTRATIVO</t>
  </si>
  <si>
    <t>Assistência Social</t>
  </si>
  <si>
    <t>Cadastro Famílias e Entidades</t>
  </si>
  <si>
    <t>PDV - Varejo</t>
  </si>
  <si>
    <t>Livraria</t>
  </si>
  <si>
    <t>Venda de Livros</t>
  </si>
  <si>
    <t>IT</t>
  </si>
  <si>
    <t>SALA</t>
  </si>
  <si>
    <t>PROPRIETÁRIO</t>
  </si>
  <si>
    <t>HOSTNAME</t>
  </si>
  <si>
    <t>MÁQUINA</t>
  </si>
  <si>
    <t>MARCA</t>
  </si>
  <si>
    <t>SERVICE TAG</t>
  </si>
  <si>
    <t>MODELO</t>
  </si>
  <si>
    <t>ARQUITETURA</t>
  </si>
  <si>
    <t>HD</t>
  </si>
  <si>
    <t>MEM</t>
  </si>
  <si>
    <t>ANTIVÍRUS</t>
  </si>
  <si>
    <t>SERIAL S.O</t>
  </si>
  <si>
    <t>MS-OFFICE</t>
  </si>
  <si>
    <t>SERIAL OFFICE</t>
  </si>
  <si>
    <t>STATUS</t>
  </si>
  <si>
    <t>00- SERVIDOR</t>
  </si>
  <si>
    <t>A Luz Divina</t>
  </si>
  <si>
    <t>Servidor</t>
  </si>
  <si>
    <t>DELL</t>
  </si>
  <si>
    <t>GJX8ZC1</t>
  </si>
  <si>
    <t>PowerEdge 2950</t>
  </si>
  <si>
    <t>Intel Xeon 3.0Ghz</t>
  </si>
  <si>
    <t>01TB</t>
  </si>
  <si>
    <t>16GB</t>
  </si>
  <si>
    <t>DEFENDER</t>
  </si>
  <si>
    <t>Windows Server Standart 2016</t>
  </si>
  <si>
    <t>TN7GD-2TFYW-7787H-VQXFB-KD8T4</t>
  </si>
  <si>
    <t>Ativo</t>
  </si>
  <si>
    <t>VICE PRESIDENCIA</t>
  </si>
  <si>
    <t>Sr. Alaciel Valentim</t>
  </si>
  <si>
    <t>Secretaria</t>
  </si>
  <si>
    <t>SECRETARIA2021</t>
  </si>
  <si>
    <t>WLD001</t>
  </si>
  <si>
    <t>192.168.0.180</t>
  </si>
  <si>
    <t>Desktop</t>
  </si>
  <si>
    <t>8YLQVG2</t>
  </si>
  <si>
    <t>Vostro 230</t>
  </si>
  <si>
    <t>Intel Dual Core</t>
  </si>
  <si>
    <t>250GB</t>
  </si>
  <si>
    <t>02GB</t>
  </si>
  <si>
    <t>Windows 07 Profesional</t>
  </si>
  <si>
    <t>Pré-instalado</t>
  </si>
  <si>
    <t>MS-Office 2010</t>
  </si>
  <si>
    <t>ATENDIMENTO FRATERNO</t>
  </si>
  <si>
    <t>Vera Borges / Delma</t>
  </si>
  <si>
    <t>Atendimento</t>
  </si>
  <si>
    <t>Ablv@2187</t>
  </si>
  <si>
    <t>NALD012</t>
  </si>
  <si>
    <t>192.168.0.181</t>
  </si>
  <si>
    <t>Notebook</t>
  </si>
  <si>
    <t>8YLNVG2</t>
  </si>
  <si>
    <t>Inspiron 5458</t>
  </si>
  <si>
    <t>Intel Core I5</t>
  </si>
  <si>
    <t>08GB</t>
  </si>
  <si>
    <t>Windows 11 Profesional</t>
  </si>
  <si>
    <t>MS-Office 2016 Standart</t>
  </si>
  <si>
    <t>TESOURARIA PDV</t>
  </si>
  <si>
    <t>Paulo / Marcelo / Roberto</t>
  </si>
  <si>
    <t>Abld@2192</t>
  </si>
  <si>
    <t>NALD003</t>
  </si>
  <si>
    <t>192.168.0.182</t>
  </si>
  <si>
    <t>8YMQVG2</t>
  </si>
  <si>
    <t>Windows 10 Profesional</t>
  </si>
  <si>
    <t>BIBLIOTECA</t>
  </si>
  <si>
    <t>Chantal</t>
  </si>
  <si>
    <t>Biblioteca</t>
  </si>
  <si>
    <t>Ablv@3876</t>
  </si>
  <si>
    <t>NALD014</t>
  </si>
  <si>
    <t>192.168.0.183</t>
  </si>
  <si>
    <t>8YJSVG2</t>
  </si>
  <si>
    <t>csi</t>
  </si>
  <si>
    <t>TESOURARIA 01</t>
  </si>
  <si>
    <t>Marcelo</t>
  </si>
  <si>
    <t>NALD006</t>
  </si>
  <si>
    <t>192.168.0.184</t>
  </si>
  <si>
    <t>TEMPLO 02</t>
  </si>
  <si>
    <t>Ablv@2190</t>
  </si>
  <si>
    <t>NALD005</t>
  </si>
  <si>
    <t>192.168.0.185</t>
  </si>
  <si>
    <t>8YKKVG2</t>
  </si>
  <si>
    <t>RHNBD-8BX3F-9QY2X-3CBQW-YP2KC</t>
  </si>
  <si>
    <t>TESOURARIA 02</t>
  </si>
  <si>
    <t xml:space="preserve">Paulo </t>
  </si>
  <si>
    <t>NALD007</t>
  </si>
  <si>
    <t>192.168.0.186</t>
  </si>
  <si>
    <t>LIVRARIA 02</t>
  </si>
  <si>
    <t>William Audi</t>
  </si>
  <si>
    <t>Ablv@0293</t>
  </si>
  <si>
    <t>NALD010</t>
  </si>
  <si>
    <t>192.168.0.187</t>
  </si>
  <si>
    <t>ZELADORIA</t>
  </si>
  <si>
    <t>Eduardo Almeida</t>
  </si>
  <si>
    <t>Zeladoria</t>
  </si>
  <si>
    <t>NALD011</t>
  </si>
  <si>
    <t>192.168.0.188</t>
  </si>
  <si>
    <t>PRESIDENCIA</t>
  </si>
  <si>
    <t>Regina Nicodemos</t>
  </si>
  <si>
    <t>Presidencia</t>
  </si>
  <si>
    <t>Ablv@1202</t>
  </si>
  <si>
    <t>NALD015</t>
  </si>
  <si>
    <t>192.168.0.190</t>
  </si>
  <si>
    <t>LENOVO</t>
  </si>
  <si>
    <t>04GB</t>
  </si>
  <si>
    <t>DDR4</t>
  </si>
  <si>
    <t>ASSISTENCIAL</t>
  </si>
  <si>
    <t>Willian Rigon / Selma Vicentim</t>
  </si>
  <si>
    <t>Assistencial</t>
  </si>
  <si>
    <t>Ablv@7592</t>
  </si>
  <si>
    <t>NALD001</t>
  </si>
  <si>
    <t>192.168.0.191</t>
  </si>
  <si>
    <t>8YLMVG2</t>
  </si>
  <si>
    <t>480GB</t>
  </si>
  <si>
    <t>VM8NW-RX3F2-W4MF7-FJCF2-BTDGP</t>
  </si>
  <si>
    <t>PATRIMÔNIO</t>
  </si>
  <si>
    <t xml:space="preserve">Larissa Toledo </t>
  </si>
  <si>
    <t>Patrimonio</t>
  </si>
  <si>
    <t>Ablv@2191</t>
  </si>
  <si>
    <t>NALD008</t>
  </si>
  <si>
    <t>192.168.0.192</t>
  </si>
  <si>
    <t>LIVRARIA 01</t>
  </si>
  <si>
    <t>NALD009</t>
  </si>
  <si>
    <t>192.168.0.193</t>
  </si>
  <si>
    <t>Willian Rigon</t>
  </si>
  <si>
    <t>Ensino</t>
  </si>
  <si>
    <t>NALD002</t>
  </si>
  <si>
    <t>192.168.0.194</t>
  </si>
  <si>
    <t>CHECAR</t>
  </si>
  <si>
    <t>TEMPLO 01</t>
  </si>
  <si>
    <t>NALD004</t>
  </si>
  <si>
    <t>192.168.0.195</t>
  </si>
  <si>
    <t>800P813</t>
  </si>
  <si>
    <t>Inspiron 3583</t>
  </si>
  <si>
    <t>Intel Core I7</t>
  </si>
  <si>
    <t>02TB</t>
  </si>
  <si>
    <t>Windows 10 Home</t>
  </si>
  <si>
    <t>B3PMN-Q779W-JJRGR-XP4MR-K4TGB</t>
  </si>
  <si>
    <t>HP</t>
  </si>
  <si>
    <t>BRJ5513MSR</t>
  </si>
  <si>
    <t>Responsável</t>
  </si>
  <si>
    <t>E-MAIL</t>
  </si>
  <si>
    <t>Tecnologia da Informação - A Luz Divina</t>
  </si>
  <si>
    <t>ADM Contas Gmail</t>
  </si>
  <si>
    <t>Selma Vicentim</t>
  </si>
  <si>
    <t>IBLD@01&amp;11&amp;1956@</t>
  </si>
  <si>
    <t>Conta Secundaria - Recuperação</t>
  </si>
  <si>
    <t>tialuzdivina@gmail.com</t>
  </si>
  <si>
    <t>Euclides Rigon</t>
  </si>
  <si>
    <t>Presidente</t>
  </si>
  <si>
    <t>euclides.rigon@aluzdivina.org.br</t>
  </si>
  <si>
    <t>Regina Nicodemo</t>
  </si>
  <si>
    <t>Vice Presidente</t>
  </si>
  <si>
    <t>rgnicodemo@aluzdivina.org.br</t>
  </si>
  <si>
    <t>Alaciel Valentim</t>
  </si>
  <si>
    <t>Diretoria Espiritual</t>
  </si>
  <si>
    <t xml:space="preserve">alaciel@aluzdivina.org.br </t>
  </si>
  <si>
    <t>Agendamento - A Luz Divina</t>
  </si>
  <si>
    <t>agendamento@aluzdivina.org.br</t>
  </si>
  <si>
    <t>Area Ensino - A Luz Divina</t>
  </si>
  <si>
    <t>area.ensino@aluzdivina.org.br</t>
  </si>
  <si>
    <t>Assistencia Espiritual</t>
  </si>
  <si>
    <t xml:space="preserve"> </t>
  </si>
  <si>
    <t>assistencia_espiritual@aluzdivina.org.br</t>
  </si>
  <si>
    <t>Assistencial - A Luz Divina</t>
  </si>
  <si>
    <t>Assintência Social</t>
  </si>
  <si>
    <t>assistencial@aluzdivina.org.br</t>
  </si>
  <si>
    <t>Associados - A Luz Divina</t>
  </si>
  <si>
    <t>associados@aluzdivina.org.br</t>
  </si>
  <si>
    <t>Carlos Aguilera</t>
  </si>
  <si>
    <t>carlos.aguilera@aluzdivina.org.br</t>
  </si>
  <si>
    <t>Curso Pratico - A Luz Divina</t>
  </si>
  <si>
    <t>Curso Prático</t>
  </si>
  <si>
    <t>pratico@aluzdivina.org.br</t>
  </si>
  <si>
    <t>Divulgação - A Luz Divina</t>
  </si>
  <si>
    <t>Fabiana Guena</t>
  </si>
  <si>
    <t>divulgacao@aluzdivina.org.br</t>
  </si>
  <si>
    <t>Ensino - EAD - A Luz Divina</t>
  </si>
  <si>
    <t>Área de Ensino</t>
  </si>
  <si>
    <t>Vera Cecília Borges</t>
  </si>
  <si>
    <t>ensino.ead@aluzdivina.org.br</t>
  </si>
  <si>
    <t>Ensino_VeraLuz Divina</t>
  </si>
  <si>
    <t>ensino_vera@aluzdivina.org.br</t>
  </si>
  <si>
    <t>Evangelização - A Luz Divina</t>
  </si>
  <si>
    <t>Evangelizaçao Infantil e Juvenil</t>
  </si>
  <si>
    <t>tutores.eeij@aluzdivina.org.br</t>
  </si>
  <si>
    <t>Grupos de Trabalho</t>
  </si>
  <si>
    <t>gruposdetrabalho@aluzdivina.org.br</t>
  </si>
  <si>
    <t>Larissa Toledo</t>
  </si>
  <si>
    <t>Patrimônio</t>
  </si>
  <si>
    <t>larissa.toledo@aluzdivina.org.br</t>
  </si>
  <si>
    <t>LGPD - A Luz Divina</t>
  </si>
  <si>
    <t>Resposta a Incidentes</t>
  </si>
  <si>
    <t>luz_lgpd@aluzdivina.org.br</t>
  </si>
  <si>
    <t>Livraria - A Luz Divina</t>
  </si>
  <si>
    <t>William Aude Silva</t>
  </si>
  <si>
    <t>livraria@aluzdivina.org.br</t>
  </si>
  <si>
    <t>Patrimonio - A Luz Divina</t>
  </si>
  <si>
    <t>patrimonio@aluzdivina.org.br</t>
  </si>
  <si>
    <t>Tesouraria - A Luz Divina</t>
  </si>
  <si>
    <t>Paulo Felix</t>
  </si>
  <si>
    <t>tesouraria@aluzdivina.org.br</t>
  </si>
  <si>
    <t>Marcelo Oliveira</t>
  </si>
  <si>
    <t>Tesoureiro 01</t>
  </si>
  <si>
    <t>marcelo.oliveira@aluzdivina.org.br</t>
  </si>
  <si>
    <t>Tesoureiro 02</t>
  </si>
  <si>
    <t>paulofelix@aluzdivina.org.br</t>
  </si>
  <si>
    <t>Roberto Goto</t>
  </si>
  <si>
    <t>Tesoureiro 03</t>
  </si>
  <si>
    <t>Secretaria - A Luz Divina</t>
  </si>
  <si>
    <t>secretaria@aluzdivina.org.br</t>
  </si>
  <si>
    <t>SECRETARIA2021**</t>
  </si>
  <si>
    <t>Voluntariado - A Luz Divina</t>
  </si>
  <si>
    <t>Voluntariado</t>
  </si>
  <si>
    <t>voluntariado@aluzdivina.org.br</t>
  </si>
  <si>
    <t>VLdv@2304</t>
  </si>
  <si>
    <t>william@aluzdivina.org.br</t>
  </si>
  <si>
    <t>Zeladoria - A Luz Divina</t>
  </si>
  <si>
    <t>Eduardo</t>
  </si>
  <si>
    <t>zeladoria@aluzdivina.org.br</t>
  </si>
  <si>
    <t>GRUPO DA FRATERNIDADE</t>
  </si>
  <si>
    <t>Silvia/Marcelo/Paulo/Rita</t>
  </si>
  <si>
    <t>grupodafraternidade@gmail.com</t>
  </si>
  <si>
    <t>gf2010LD</t>
  </si>
  <si>
    <t>DIRETORIA</t>
  </si>
  <si>
    <t>FUNÇÂO</t>
  </si>
  <si>
    <t>Euclides J. Rigon</t>
  </si>
  <si>
    <t>euclides@mbbarter.com.br</t>
  </si>
  <si>
    <t>Vice Presidência</t>
  </si>
  <si>
    <t xml:space="preserve">Fabiana Guena </t>
  </si>
  <si>
    <t>fabianaguena@gmail.com</t>
  </si>
  <si>
    <t>larissa.toledo@gmail.com</t>
  </si>
  <si>
    <t>Roberto  Goto</t>
  </si>
  <si>
    <t>Assistência Material</t>
  </si>
  <si>
    <t xml:space="preserve">Willian Rigon Pardo </t>
  </si>
  <si>
    <t>rigonpardo@yahoo.com.br</t>
  </si>
  <si>
    <t>COMPRAS</t>
  </si>
  <si>
    <t>CONTA DE ACESSO</t>
  </si>
  <si>
    <t>KABUM</t>
  </si>
  <si>
    <t>kabum.com.br</t>
  </si>
  <si>
    <t>62161534000157</t>
  </si>
  <si>
    <t>MERCADO LIVRE</t>
  </si>
  <si>
    <t>mercadolivre.com.br</t>
  </si>
  <si>
    <t>MLld@2023</t>
  </si>
  <si>
    <t>MAGALU EMPRESAS</t>
  </si>
  <si>
    <t>@Rubens1956@</t>
  </si>
  <si>
    <t>Salas</t>
  </si>
  <si>
    <t>Keystone</t>
  </si>
  <si>
    <t>Sobrepor K</t>
  </si>
  <si>
    <t>RJ45</t>
  </si>
  <si>
    <t>Diretoria</t>
  </si>
  <si>
    <t>Bazar</t>
  </si>
  <si>
    <t>Atendimento Fraterno</t>
  </si>
  <si>
    <t>RFE - atendimento</t>
  </si>
  <si>
    <t>RFE - Preparação</t>
  </si>
  <si>
    <t>João Nunes</t>
  </si>
  <si>
    <t>Sala de Preparação</t>
  </si>
  <si>
    <t>Roteadores</t>
  </si>
  <si>
    <t>LOCAL</t>
  </si>
  <si>
    <t>I B "A LUZ DIVINA"</t>
  </si>
  <si>
    <t>DATA</t>
  </si>
  <si>
    <t>MP-TI</t>
  </si>
  <si>
    <t>001</t>
  </si>
  <si>
    <t>MAPA DE COTAÇÃO</t>
  </si>
  <si>
    <t>Empresa</t>
  </si>
  <si>
    <t>CENTRAL CABOS</t>
  </si>
  <si>
    <t>GRUPO NET CABOS</t>
  </si>
  <si>
    <t>SOLUÇÕES CABOS</t>
  </si>
  <si>
    <t>AMERICANAS</t>
  </si>
  <si>
    <t>Telefone</t>
  </si>
  <si>
    <t>11 33343710</t>
  </si>
  <si>
    <t>(11) 33614104</t>
  </si>
  <si>
    <t>(11) 33371251</t>
  </si>
  <si>
    <t>(11) 94858-6111</t>
  </si>
  <si>
    <t>Produto/Serviço</t>
  </si>
  <si>
    <t>E-mail</t>
  </si>
  <si>
    <t>corporativo@centralcabos.com.br</t>
  </si>
  <si>
    <t>comercial@gruponetcabos.com.br</t>
  </si>
  <si>
    <t>vendas@solucaocabos.com.br</t>
  </si>
  <si>
    <t>INFRAESTRUTURA DE REDE</t>
  </si>
  <si>
    <t>Site</t>
  </si>
  <si>
    <t>https://www.centralcabos.com.br/</t>
  </si>
  <si>
    <t>https://www.gruponetcabos.com.br/</t>
  </si>
  <si>
    <t>https://www.solucaocabos.com.br/</t>
  </si>
  <si>
    <t>Descrição</t>
  </si>
  <si>
    <t>QTDE</t>
  </si>
  <si>
    <t>Valor Mensal</t>
  </si>
  <si>
    <t>Valor Total</t>
  </si>
  <si>
    <t>Cabo de Rede Cat5e Caixa 305m Cmx</t>
  </si>
  <si>
    <t>Patch Panel CaT5e 24P</t>
  </si>
  <si>
    <t>Keystone Cat5e</t>
  </si>
  <si>
    <t>Caixa Sobrepor 1 Saída - 3401</t>
  </si>
  <si>
    <t>Conector RJ45 CaT5e</t>
  </si>
  <si>
    <t>Cabo de Energia 2,5mm - 20 Metros</t>
  </si>
  <si>
    <t>OBS.:</t>
  </si>
  <si>
    <t xml:space="preserve">TOTAL </t>
  </si>
  <si>
    <t xml:space="preserve">TOTAL  </t>
  </si>
  <si>
    <t xml:space="preserve">            APROVAÇÕES</t>
  </si>
  <si>
    <t>Solicitante</t>
  </si>
  <si>
    <t>__________________________________________________________________</t>
  </si>
  <si>
    <t>Data: ______/______/______</t>
  </si>
  <si>
    <t>IPv4</t>
  </si>
  <si>
    <t>MAC</t>
  </si>
  <si>
    <t>Fabricante (OUI)</t>
  </si>
  <si>
    <t>24:e4:ce:8f:21:89</t>
  </si>
  <si>
    <t>(Unknown)</t>
  </si>
  <si>
    <t>192.168.0.17</t>
  </si>
  <si>
    <t>0e:a6:03:5c:51:66</t>
  </si>
  <si>
    <t>(Unknown: locally administered)</t>
  </si>
  <si>
    <t>192.168.0.18</t>
  </si>
  <si>
    <t>bc:24:11:8e:e8:8b</t>
  </si>
  <si>
    <t>192.168.0.20</t>
  </si>
  <si>
    <t>b8:13:32:b8:78:3c</t>
  </si>
  <si>
    <t>AMPAK Technology,Inc.</t>
  </si>
  <si>
    <t>192.168.0.22</t>
  </si>
  <si>
    <t>94:53:30:fe:76:c5</t>
  </si>
  <si>
    <t>Hon Hai Precision Ind. Co.,Ltd.</t>
  </si>
  <si>
    <t>192.168.0.24</t>
  </si>
  <si>
    <t>bc:38:98:0f:5e:29</t>
  </si>
  <si>
    <t>192.168.0.27</t>
  </si>
  <si>
    <t>46:5c:a4:20:ba:54</t>
  </si>
  <si>
    <t>192.168.0.28</t>
  </si>
  <si>
    <t>94:53:30:fe:78:2d</t>
  </si>
  <si>
    <t>192.168.0.30</t>
  </si>
  <si>
    <t>76:27:5f:fe:fa:f6</t>
  </si>
  <si>
    <t>192.168.0.34</t>
  </si>
  <si>
    <t>8a:72:bf:38:8b:f1</t>
  </si>
  <si>
    <t>192.168.0.40</t>
  </si>
  <si>
    <t>10:98:36:fd:b9:98</t>
  </si>
  <si>
    <t>Dell Inc.</t>
  </si>
  <si>
    <t>192.168.0.43</t>
  </si>
  <si>
    <t>50:41:1c:44:f4:2c</t>
  </si>
  <si>
    <t>192.168.0.45</t>
  </si>
  <si>
    <t>b8:13:32:43:15:9c</t>
  </si>
  <si>
    <t>192.168.0.46</t>
  </si>
  <si>
    <t>70:f7:54:fe:52:25</t>
  </si>
  <si>
    <t>192.168.0.48</t>
  </si>
  <si>
    <t>26:0c:10:5a:e2:f8</t>
  </si>
  <si>
    <t>192.168.0.61</t>
  </si>
  <si>
    <t>44:d2:44:0c:bf:3c</t>
  </si>
  <si>
    <t>Seiko Epson Corporation</t>
  </si>
  <si>
    <t>192.168.0.89</t>
  </si>
  <si>
    <t>94:53:30:fe:6d:0f</t>
  </si>
  <si>
    <t>192.168.0.101</t>
  </si>
  <si>
    <t>bc:24:11:7d:07:e4</t>
  </si>
  <si>
    <t>192.168.0.102</t>
  </si>
  <si>
    <t>bc:24:11:1c:f7:c9</t>
  </si>
  <si>
    <t>192.168.0.109</t>
  </si>
  <si>
    <t>bc:24:11:77:89:61</t>
  </si>
  <si>
    <t>192.168.0.110</t>
  </si>
  <si>
    <t>bc:24:11:17:01:3a</t>
  </si>
  <si>
    <t>192.168.0.111</t>
  </si>
  <si>
    <t>bc:24:11:82:7f:dc</t>
  </si>
  <si>
    <t>192.168.0.114</t>
  </si>
  <si>
    <t>bc:24:11:54:fb:f1</t>
  </si>
  <si>
    <t>192.168.0.115</t>
  </si>
  <si>
    <t>bc:24:11:3f:6a:b3</t>
  </si>
  <si>
    <t>cc:32:e5:bf:c0:06</t>
  </si>
  <si>
    <t>TP-LINK TECHNOLOGIES CO.,LTD. (DUP: 2)</t>
  </si>
  <si>
    <t>20:47:47:fc:4e:c2</t>
  </si>
  <si>
    <t>84:7b:eb:e5:2f:05</t>
  </si>
  <si>
    <t>84:7b:eb:e5:2e:0a</t>
  </si>
  <si>
    <t>84:7b:eb:e5:23:19</t>
  </si>
  <si>
    <t>84:7b:eb:e5:24:7f</t>
  </si>
  <si>
    <t>84:7b:eb:e5:24:a7</t>
  </si>
  <si>
    <t>dc:45:46:99:04:c1</t>
  </si>
  <si>
    <t>84:7b:eb:e5:2f:18</t>
  </si>
  <si>
    <t>84:7b:eb:e5:2f:1a</t>
  </si>
  <si>
    <t>d0:94:66:b6:b1:66</t>
  </si>
  <si>
    <t>bc:24:11:db:71:e8</t>
  </si>
  <si>
    <t>192.168.0.202</t>
  </si>
  <si>
    <t>22:33:4d:06:cd:b7</t>
  </si>
  <si>
    <t>192.168.0.203</t>
  </si>
  <si>
    <t>bc:24:11:c5:75:a8</t>
  </si>
  <si>
    <t>192.168.0.210</t>
  </si>
  <si>
    <t>00:1d:5b:01:95:9d</t>
  </si>
  <si>
    <t>Tecvan Informatica Ltda</t>
  </si>
  <si>
    <t>192.168.0.212</t>
  </si>
  <si>
    <t>60:32:b1:ac:96:30</t>
  </si>
  <si>
    <t>TP-LINK TECHNOLOGIES CO.,LTD.</t>
  </si>
  <si>
    <t>192.168.0.231</t>
  </si>
  <si>
    <t>bc:24:11:c5:9a:ea</t>
  </si>
  <si>
    <t>192.168.0.233</t>
  </si>
  <si>
    <t>c0:47:0e:f6:f7:69</t>
  </si>
  <si>
    <t>192.168.0.234</t>
  </si>
  <si>
    <t>74:e6:e2:d0:2a:79</t>
  </si>
  <si>
    <t>DADOS</t>
  </si>
  <si>
    <t>CNPJ</t>
  </si>
  <si>
    <t>62.161.534/0001-57</t>
  </si>
  <si>
    <t>RAZÃO SOCIAL</t>
  </si>
  <si>
    <t>INSTITUICAO BENEFICENTE A LUZ DIVINA</t>
  </si>
  <si>
    <t>INÍCIO DAS ATIVIDADES</t>
  </si>
  <si>
    <t>ENDEREÇO</t>
  </si>
  <si>
    <t>Avenida Horácio Lafer, 720 Itaim Bibi</t>
  </si>
  <si>
    <t>04538083 - SÃO PAULO - SP</t>
  </si>
  <si>
    <t>IPS servidor</t>
  </si>
  <si>
    <t>HOST</t>
  </si>
  <si>
    <t>DESENVOLVIMENTO</t>
  </si>
  <si>
    <t>CLOUD FARED</t>
  </si>
  <si>
    <t>MESH</t>
  </si>
  <si>
    <t>192.168.0.103</t>
  </si>
  <si>
    <t>OPEN 6</t>
  </si>
  <si>
    <t>192.168.0.104</t>
  </si>
  <si>
    <t>DOMAIN CONTROL LINUX</t>
  </si>
  <si>
    <t>192.168.0.107</t>
  </si>
  <si>
    <t>KUBER</t>
  </si>
  <si>
    <t>192.168.0.108</t>
  </si>
  <si>
    <t>AGENT IA</t>
  </si>
  <si>
    <t>REDIS</t>
  </si>
  <si>
    <t>MS SQL</t>
  </si>
  <si>
    <t>FILE SERVER</t>
  </si>
  <si>
    <t>192.168.0.112</t>
  </si>
  <si>
    <t>DELL OME</t>
  </si>
  <si>
    <t>BACKUP</t>
  </si>
  <si>
    <t>CLOUD FARED 2</t>
  </si>
  <si>
    <t>PIHOLE</t>
  </si>
  <si>
    <t>SERVER REDUNDÂNCIA - NOVO</t>
  </si>
  <si>
    <t>SERVER REDUNDÂNCIA - DELL MENOR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</si>
</sst>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</numFmts>
  <fonts count="29">
    <font>
      <sz val="11.0"/>
      <color theme="1"/>
      <name val="Calibri"/>
      <scheme val="minor"/>
    </font>
    <font>
      <sz val="11.0"/>
      <color rgb="FFFFFFFF"/>
      <name val="Calibri"/>
    </font>
    <font/>
    <font>
      <sz val="11.0"/>
      <color theme="1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9.0"/>
      <color theme="1"/>
      <name val="Calibri"/>
    </font>
    <font>
      <u/>
      <sz val="11.0"/>
      <color rgb="FF000000"/>
      <name val="Calibri"/>
    </font>
    <font>
      <sz val="11.0"/>
      <color rgb="FFFF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20.0"/>
      <color theme="1"/>
      <name val="Calibri"/>
    </font>
    <font>
      <b/>
      <sz val="10.0"/>
      <color theme="1"/>
      <name val="Calibri"/>
    </font>
    <font>
      <u/>
      <sz val="10.0"/>
      <color theme="10"/>
      <name val="Calibri"/>
    </font>
    <font>
      <u/>
      <sz val="11.0"/>
      <color theme="10"/>
      <name val="Calibri"/>
    </font>
    <font>
      <u/>
      <sz val="10.0"/>
      <color theme="10"/>
      <name val="Calibri"/>
    </font>
    <font>
      <u/>
      <sz val="9.0"/>
      <color theme="10"/>
      <name val="Calibri"/>
    </font>
    <font>
      <b/>
      <sz val="11.0"/>
      <color rgb="FFC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</fills>
  <borders count="34">
    <border/>
    <border>
      <left style="dotted">
        <color rgb="FF1E4E79"/>
      </left>
      <top/>
      <bottom/>
    </border>
    <border>
      <top/>
      <bottom/>
    </border>
    <border>
      <right/>
      <top/>
      <bottom/>
    </border>
    <border>
      <left style="dotted">
        <color rgb="FF1E4E79"/>
      </left>
      <right style="dotted">
        <color rgb="FF1E4E79"/>
      </right>
      <top style="dotted">
        <color rgb="FF1E4E79"/>
      </top>
      <bottom style="dotted">
        <color rgb="FF1E4E79"/>
      </bottom>
    </border>
    <border>
      <left style="dotted">
        <color rgb="FF1E4E79"/>
      </left>
      <right/>
      <top style="dotted">
        <color rgb="FF1E4E79"/>
      </top>
      <bottom style="dotted">
        <color rgb="FF1E4E79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1E4E79"/>
      </left>
      <top style="dotted">
        <color rgb="FF1E4E79"/>
      </top>
      <bottom style="dotted">
        <color rgb="FF1E4E79"/>
      </bottom>
    </border>
    <border>
      <left style="dotted">
        <color rgb="FF1E4E79"/>
      </left>
      <top/>
      <bottom style="hair">
        <color rgb="FF1E4E79"/>
      </bottom>
    </border>
    <border>
      <right/>
      <top/>
      <bottom style="hair">
        <color rgb="FF1E4E79"/>
      </bottom>
    </border>
    <border>
      <left style="hair">
        <color rgb="FF1E4E79"/>
      </left>
      <top style="hair">
        <color rgb="FF1E4E79"/>
      </top>
      <bottom style="hair">
        <color rgb="FF1E4E79"/>
      </bottom>
    </border>
    <border>
      <right style="hair">
        <color rgb="FF1E4E79"/>
      </right>
      <top style="hair">
        <color rgb="FF1E4E79"/>
      </top>
      <bottom style="hair">
        <color rgb="FF1E4E79"/>
      </bottom>
    </border>
    <border>
      <left style="dotted">
        <color rgb="FF1E4E79"/>
      </left>
      <right/>
      <top/>
      <bottom/>
    </border>
    <border>
      <left/>
      <right/>
      <top/>
      <bottom/>
    </border>
    <border>
      <lef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dotted">
        <color rgb="FF1E4E79"/>
      </left>
      <right style="dotted">
        <color rgb="FF1E4E79"/>
      </right>
      <top style="dotted">
        <color rgb="FF1E4E79"/>
      </top>
    </border>
    <border>
      <left style="dotted">
        <color rgb="FF1E4E79"/>
      </left>
      <right style="dotted">
        <color rgb="FF1E4E79"/>
      </right>
      <bottom style="dotted">
        <color rgb="FF1E4E79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6" fillId="0" fontId="10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left" readingOrder="0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4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14" fillId="2" fontId="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4" fillId="3" fontId="4" numFmtId="0" xfId="0" applyAlignment="1" applyBorder="1" applyFill="1" applyFont="1">
      <alignment horizontal="left" shrinkToFit="0" vertical="center" wrapText="1"/>
    </xf>
    <xf borderId="0" fillId="3" fontId="13" numFmtId="0" xfId="0" applyAlignment="1" applyFont="1">
      <alignment vertical="center"/>
    </xf>
    <xf borderId="4" fillId="0" fontId="14" numFmtId="0" xfId="0" applyAlignment="1" applyBorder="1" applyFont="1">
      <alignment horizontal="left" readingOrder="0" shrinkToFit="0" vertical="center" wrapText="1"/>
    </xf>
    <xf borderId="15" fillId="3" fontId="13" numFmtId="0" xfId="0" applyAlignment="1" applyBorder="1" applyFont="1">
      <alignment vertical="center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16" numFmtId="0" xfId="0" applyAlignment="1" applyBorder="1" applyFont="1">
      <alignment horizontal="left" readingOrder="0"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quotePrefix="1" borderId="4" fillId="0" fontId="17" numFmtId="0" xfId="0" applyAlignment="1" applyBorder="1" applyFont="1">
      <alignment horizontal="left" shrinkToFit="0" vertical="center" wrapText="1"/>
    </xf>
    <xf quotePrefix="1" borderId="4" fillId="0" fontId="4" numFmtId="0" xfId="0" applyAlignment="1" applyBorder="1" applyFont="1">
      <alignment horizontal="left" shrinkToFit="0" vertical="center" wrapText="1"/>
    </xf>
    <xf borderId="0" fillId="0" fontId="18" numFmtId="0" xfId="0" applyFont="1"/>
    <xf borderId="0" fillId="0" fontId="3" numFmtId="0" xfId="0" applyAlignment="1" applyFont="1">
      <alignment horizontal="center"/>
    </xf>
    <xf borderId="17" fillId="0" fontId="3" numFmtId="0" xfId="0" applyAlignment="1" applyBorder="1" applyFont="1">
      <alignment horizontal="center"/>
    </xf>
    <xf borderId="18" fillId="0" fontId="2" numFmtId="0" xfId="0" applyBorder="1" applyFont="1"/>
    <xf borderId="17" fillId="0" fontId="3" numFmtId="0" xfId="0" applyBorder="1" applyFont="1"/>
    <xf borderId="19" fillId="0" fontId="3" numFmtId="0" xfId="0" applyBorder="1" applyFont="1"/>
    <xf borderId="18" fillId="0" fontId="3" numFmtId="0" xfId="0" applyBorder="1" applyFont="1"/>
    <xf borderId="20" fillId="0" fontId="2" numFmtId="0" xfId="0" applyBorder="1" applyFont="1"/>
    <xf borderId="21" fillId="0" fontId="2" numFmtId="0" xfId="0" applyBorder="1" applyFont="1"/>
    <xf borderId="20" fillId="0" fontId="19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19" numFmtId="0" xfId="0" applyFont="1"/>
    <xf borderId="22" fillId="0" fontId="3" numFmtId="14" xfId="0" applyAlignment="1" applyBorder="1" applyFont="1" applyNumberFormat="1">
      <alignment horizontal="center"/>
    </xf>
    <xf borderId="23" fillId="0" fontId="2" numFmtId="0" xfId="0" applyBorder="1" applyFont="1"/>
    <xf borderId="0" fillId="0" fontId="3" numFmtId="14" xfId="0" applyFont="1" applyNumberFormat="1"/>
    <xf borderId="21" fillId="0" fontId="3" numFmtId="0" xfId="0" applyBorder="1" applyFont="1"/>
    <xf quotePrefix="1" borderId="22" fillId="0" fontId="19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24" fillId="0" fontId="3" numFmtId="0" xfId="0" applyBorder="1" applyFont="1"/>
    <xf borderId="26" fillId="0" fontId="3" numFmtId="0" xfId="0" applyBorder="1" applyFont="1"/>
    <xf borderId="17" fillId="0" fontId="20" numFmtId="0" xfId="0" applyAlignment="1" applyBorder="1" applyFont="1">
      <alignment horizontal="center" vertical="center"/>
    </xf>
    <xf borderId="27" fillId="0" fontId="21" numFmtId="0" xfId="0" applyBorder="1" applyFont="1"/>
    <xf borderId="22" fillId="0" fontId="19" numFmtId="0" xfId="0" applyAlignment="1" applyBorder="1" applyFont="1">
      <alignment horizontal="center"/>
    </xf>
    <xf borderId="28" fillId="0" fontId="21" numFmtId="0" xfId="0" applyBorder="1" applyFont="1"/>
    <xf borderId="22" fillId="0" fontId="3" numFmtId="0" xfId="0" applyAlignment="1" applyBorder="1" applyFont="1">
      <alignment horizontal="center"/>
    </xf>
    <xf borderId="20" fillId="0" fontId="3" numFmtId="0" xfId="0" applyAlignment="1" applyBorder="1" applyFont="1">
      <alignment horizontal="left" vertical="center"/>
    </xf>
    <xf borderId="22" fillId="0" fontId="22" numFmtId="0" xfId="0" applyAlignment="1" applyBorder="1" applyFont="1">
      <alignment horizontal="center"/>
    </xf>
    <xf borderId="22" fillId="0" fontId="23" numFmtId="0" xfId="0" applyAlignment="1" applyBorder="1" applyFont="1">
      <alignment horizontal="center" shrinkToFit="1" wrapText="0"/>
    </xf>
    <xf borderId="24" fillId="0" fontId="19" numFmtId="0" xfId="0" applyAlignment="1" applyBorder="1" applyFont="1">
      <alignment horizontal="center" vertical="center"/>
    </xf>
    <xf borderId="29" fillId="0" fontId="21" numFmtId="0" xfId="0" applyBorder="1" applyFont="1"/>
    <xf borderId="22" fillId="0" fontId="24" numFmtId="0" xfId="0" applyAlignment="1" applyBorder="1" applyFont="1">
      <alignment horizontal="center" shrinkToFit="0" wrapText="1"/>
    </xf>
    <xf borderId="22" fillId="0" fontId="25" numFmtId="0" xfId="0" applyAlignment="1" applyBorder="1" applyFont="1">
      <alignment horizontal="center" shrinkToFit="0" wrapText="1"/>
    </xf>
    <xf borderId="30" fillId="0" fontId="19" numFmtId="0" xfId="0" applyAlignment="1" applyBorder="1" applyFont="1">
      <alignment horizontal="center"/>
    </xf>
    <xf borderId="30" fillId="0" fontId="19" numFmtId="0" xfId="0" applyBorder="1" applyFont="1"/>
    <xf borderId="30" fillId="0" fontId="3" numFmtId="0" xfId="0" applyBorder="1" applyFont="1"/>
    <xf borderId="30" fillId="0" fontId="3" numFmtId="0" xfId="0" applyAlignment="1" applyBorder="1" applyFont="1">
      <alignment horizontal="center"/>
    </xf>
    <xf borderId="30" fillId="0" fontId="3" numFmtId="164" xfId="0" applyBorder="1" applyFont="1" applyNumberFormat="1"/>
    <xf borderId="30" fillId="0" fontId="3" numFmtId="164" xfId="0" applyAlignment="1" applyBorder="1" applyFont="1" applyNumberFormat="1">
      <alignment horizontal="right"/>
    </xf>
    <xf borderId="27" fillId="0" fontId="19" numFmtId="0" xfId="0" applyAlignment="1" applyBorder="1" applyFont="1">
      <alignment horizontal="center" vertical="center"/>
    </xf>
    <xf borderId="20" fillId="0" fontId="3" numFmtId="0" xfId="0" applyAlignment="1" applyBorder="1" applyFont="1">
      <alignment shrinkToFit="0" vertical="top" wrapText="1"/>
    </xf>
    <xf borderId="21" fillId="0" fontId="3" numFmtId="0" xfId="0" applyAlignment="1" applyBorder="1" applyFont="1">
      <alignment shrinkToFit="0" vertical="top" wrapText="1"/>
    </xf>
    <xf borderId="27" fillId="0" fontId="19" numFmtId="0" xfId="0" applyAlignment="1" applyBorder="1" applyFont="1">
      <alignment vertical="center"/>
    </xf>
    <xf borderId="27" fillId="0" fontId="19" numFmtId="165" xfId="0" applyAlignment="1" applyBorder="1" applyFont="1" applyNumberFormat="1">
      <alignment vertical="center"/>
    </xf>
    <xf borderId="29" fillId="0" fontId="2" numFmtId="0" xfId="0" applyBorder="1" applyFont="1"/>
    <xf borderId="24" fillId="0" fontId="3" numFmtId="0" xfId="0" applyAlignment="1" applyBorder="1" applyFont="1">
      <alignment horizontal="left" shrinkToFit="0" vertical="top" wrapText="1"/>
    </xf>
    <xf borderId="28" fillId="0" fontId="19" numFmtId="0" xfId="0" applyAlignment="1" applyBorder="1" applyFont="1">
      <alignment vertical="center"/>
    </xf>
    <xf borderId="28" fillId="0" fontId="26" numFmtId="165" xfId="0" applyAlignment="1" applyBorder="1" applyFont="1" applyNumberFormat="1">
      <alignment vertical="center"/>
    </xf>
    <xf borderId="28" fillId="0" fontId="19" numFmtId="165" xfId="0" applyAlignment="1" applyBorder="1" applyFont="1" applyNumberFormat="1">
      <alignment vertical="center"/>
    </xf>
    <xf borderId="29" fillId="0" fontId="19" numFmtId="165" xfId="0" applyAlignment="1" applyBorder="1" applyFont="1" applyNumberFormat="1">
      <alignment vertical="center"/>
    </xf>
    <xf borderId="17" fillId="0" fontId="19" numFmtId="0" xfId="0" applyAlignment="1" applyBorder="1" applyFont="1">
      <alignment horizontal="left" vertical="center"/>
    </xf>
    <xf borderId="19" fillId="0" fontId="2" numFmtId="0" xfId="0" applyBorder="1" applyFont="1"/>
    <xf borderId="0" fillId="0" fontId="19" numFmtId="0" xfId="0" applyAlignment="1" applyFont="1">
      <alignment horizontal="left" vertical="center"/>
    </xf>
    <xf borderId="20" fillId="0" fontId="3" numFmtId="0" xfId="0" applyBorder="1" applyFont="1"/>
    <xf borderId="0" fillId="0" fontId="19" numFmtId="0" xfId="0" applyAlignment="1" applyFont="1">
      <alignment vertical="top"/>
    </xf>
    <xf borderId="0" fillId="0" fontId="3" numFmtId="2" xfId="0" applyFont="1" applyNumberFormat="1"/>
    <xf borderId="0" fillId="0" fontId="3" numFmtId="0" xfId="0" applyAlignment="1" applyFont="1">
      <alignment vertical="top"/>
    </xf>
    <xf borderId="26" fillId="0" fontId="3" numFmtId="0" xfId="0" applyAlignment="1" applyBorder="1" applyFont="1">
      <alignment horizontal="left"/>
    </xf>
    <xf borderId="25" fillId="0" fontId="3" numFmtId="0" xfId="0" applyBorder="1" applyFont="1"/>
    <xf borderId="31" fillId="0" fontId="27" numFmtId="0" xfId="0" applyAlignment="1" applyBorder="1" applyFont="1">
      <alignment readingOrder="0" vertical="bottom"/>
    </xf>
    <xf borderId="31" fillId="0" fontId="28" numFmtId="0" xfId="0" applyAlignment="1" applyBorder="1" applyFont="1">
      <alignment readingOrder="0" vertical="bottom"/>
    </xf>
    <xf borderId="4" fillId="0" fontId="4" numFmtId="14" xfId="0" applyAlignment="1" applyBorder="1" applyFont="1" applyNumberFormat="1">
      <alignment horizontal="left" shrinkToFit="0" vertical="center" wrapText="1"/>
    </xf>
    <xf borderId="32" fillId="0" fontId="4" numFmtId="0" xfId="0" applyAlignment="1" applyBorder="1" applyFont="1">
      <alignment horizontal="left" shrinkToFit="0" vertical="center" wrapText="1"/>
    </xf>
    <xf borderId="33" fillId="0" fontId="2" numFmtId="0" xfId="0" applyBorder="1" applyFont="1"/>
    <xf borderId="0" fillId="0" fontId="18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0</xdr:row>
      <xdr:rowOff>95250</xdr:rowOff>
    </xdr:from>
    <xdr:ext cx="21336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egistro.br/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aluzdivina.org.br/ald-adm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mailto:ti@aluzdivina.org.br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https://cloud.gravityzone.bitdefender.com/" TargetMode="External"/><Relationship Id="rId9" Type="http://schemas.openxmlformats.org/officeDocument/2006/relationships/hyperlink" Target="https://www.techsoupbrasil.org.br/user/login?destination=homepage_rbf%3Flanguage%3Dpt-br&amp;language=pt-br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about:blank" TargetMode="External"/><Relationship Id="rId5" Type="http://schemas.openxmlformats.org/officeDocument/2006/relationships/hyperlink" Target="mailto:ti@aluzdivina.org.br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mailto:roberto.goto@aluzdivina.org.br" TargetMode="External"/><Relationship Id="rId8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mailto:ALuzDivina@IBALuzDivina.onmicrosotf.com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mailto:TI@IBenfALuzDivina.onmicrosoft.com" TargetMode="External"/><Relationship Id="rId15" Type="http://schemas.openxmlformats.org/officeDocument/2006/relationships/hyperlink" Target="mailto:goto@aluzdivina.onmicrosoft.com" TargetMode="External"/><Relationship Id="rId14" Type="http://schemas.openxmlformats.org/officeDocument/2006/relationships/hyperlink" Target="https://www.microsoft.com/licensing/servicecenter/default.aspx" TargetMode="External"/><Relationship Id="rId17" Type="http://schemas.openxmlformats.org/officeDocument/2006/relationships/hyperlink" Target="https://www.microsoft.com/licensing/servicecenter/default.aspx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cliente.hostgator.com.br/sites" TargetMode="External"/><Relationship Id="rId18" Type="http://schemas.openxmlformats.org/officeDocument/2006/relationships/hyperlink" Target="mailto:rmgoto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mailto:tialuzdivina@gmail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alaciel@aluzdivina.org.br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mailto:grupodafraternidade@g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bum.com.br/" TargetMode="External"/><Relationship Id="rId2" Type="http://schemas.openxmlformats.org/officeDocument/2006/relationships/hyperlink" Target="mailto:ti@aluzdivina.org.br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ti@aluzdivina.org.br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mailto:ti@aluzdivina.org.br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corporativo@centralcabos.com.br" TargetMode="External"/><Relationship Id="rId2" Type="http://schemas.openxmlformats.org/officeDocument/2006/relationships/hyperlink" Target="mailto:comercial@gruponetcabos.com.br" TargetMode="External"/><Relationship Id="rId3" Type="http://schemas.openxmlformats.org/officeDocument/2006/relationships/hyperlink" Target="mailto:vendas@solucaocabos.com.br" TargetMode="External"/><Relationship Id="rId4" Type="http://schemas.openxmlformats.org/officeDocument/2006/relationships/hyperlink" Target="mailto:vendas@solucaocabos.com.br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centralcabos.com.br/" TargetMode="External"/><Relationship Id="rId6" Type="http://schemas.openxmlformats.org/officeDocument/2006/relationships/hyperlink" Target="https://www.gruponetcabos.com.br/" TargetMode="External"/><Relationship Id="rId7" Type="http://schemas.openxmlformats.org/officeDocument/2006/relationships/hyperlink" Target="https://www.solucaocabos.com.br/" TargetMode="External"/><Relationship Id="rId8" Type="http://schemas.openxmlformats.org/officeDocument/2006/relationships/hyperlink" Target="https://www.solucaocabos.com.br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7.86"/>
    <col customWidth="1" min="2" max="2" width="28.43"/>
    <col customWidth="1" min="3" max="3" width="41.86"/>
    <col customWidth="1" min="4" max="4" width="28.43"/>
    <col customWidth="1" min="5" max="5" width="54.71"/>
    <col customWidth="1" min="6" max="6" width="30.29"/>
    <col customWidth="1" min="7" max="7" width="21.86"/>
    <col customWidth="1" min="8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3"/>
    </row>
    <row r="3" ht="19.5" customHeight="1">
      <c r="A3" s="4" t="s">
        <v>1</v>
      </c>
    </row>
    <row r="4" ht="19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19.5" customHeight="1">
      <c r="A5" s="6" t="s">
        <v>8</v>
      </c>
      <c r="B5" s="6" t="s">
        <v>9</v>
      </c>
      <c r="C5" s="6" t="s">
        <v>10</v>
      </c>
      <c r="D5" s="7" t="s">
        <v>11</v>
      </c>
      <c r="E5" s="6" t="s">
        <v>12</v>
      </c>
      <c r="F5" s="6" t="s">
        <v>13</v>
      </c>
    </row>
    <row r="6" ht="19.5" customHeight="1">
      <c r="A6" s="8"/>
      <c r="B6" s="8"/>
      <c r="C6" s="8"/>
      <c r="D6" s="9"/>
      <c r="E6" s="8"/>
      <c r="F6" s="8"/>
    </row>
    <row r="7" ht="19.5" customHeight="1">
      <c r="A7" s="4" t="s">
        <v>14</v>
      </c>
    </row>
    <row r="8" ht="19.5" customHeight="1">
      <c r="A8" s="5" t="s">
        <v>15</v>
      </c>
      <c r="B8" s="5" t="s">
        <v>16</v>
      </c>
      <c r="C8" s="5" t="s">
        <v>17</v>
      </c>
    </row>
    <row r="9" ht="19.5" customHeight="1">
      <c r="A9" s="6" t="s">
        <v>18</v>
      </c>
      <c r="B9" s="6">
        <v>1.1976749035E10</v>
      </c>
      <c r="C9" s="6" t="s">
        <v>19</v>
      </c>
    </row>
    <row r="10" ht="19.5" customHeight="1">
      <c r="A10" s="6" t="s">
        <v>20</v>
      </c>
      <c r="B10" s="6">
        <v>1.1942431817E10</v>
      </c>
      <c r="C10" s="6" t="s">
        <v>19</v>
      </c>
    </row>
    <row r="11" ht="19.5" customHeight="1">
      <c r="A11" s="6" t="s">
        <v>21</v>
      </c>
      <c r="B11" s="6">
        <v>1.1991900544E10</v>
      </c>
      <c r="C11" s="6" t="s">
        <v>19</v>
      </c>
    </row>
    <row r="12" ht="19.5" customHeight="1">
      <c r="A12" s="10" t="s">
        <v>22</v>
      </c>
      <c r="B12" s="10">
        <v>1.1992189683E10</v>
      </c>
      <c r="C12" s="6" t="s">
        <v>19</v>
      </c>
    </row>
    <row r="13" ht="19.5" customHeight="1">
      <c r="A13" s="8"/>
      <c r="B13" s="8"/>
      <c r="C13" s="8"/>
      <c r="D13" s="9"/>
      <c r="E13" s="8"/>
      <c r="F13" s="8"/>
      <c r="G13" s="8"/>
    </row>
    <row r="14" ht="19.5" customHeight="1">
      <c r="A14" s="4" t="s">
        <v>23</v>
      </c>
      <c r="B14" s="4"/>
      <c r="C14" s="4"/>
    </row>
    <row r="15" ht="19.5" customHeight="1">
      <c r="A15" s="5" t="s">
        <v>24</v>
      </c>
      <c r="B15" s="5" t="s">
        <v>6</v>
      </c>
      <c r="C15" s="11" t="s">
        <v>25</v>
      </c>
      <c r="D15" s="12" t="s">
        <v>5</v>
      </c>
      <c r="E15" s="13" t="s">
        <v>26</v>
      </c>
      <c r="F15" s="14"/>
      <c r="G15" s="15"/>
    </row>
    <row r="16" ht="19.5" customHeight="1">
      <c r="A16" s="6" t="s">
        <v>27</v>
      </c>
      <c r="B16" s="6" t="s">
        <v>28</v>
      </c>
      <c r="C16" s="16" t="s">
        <v>29</v>
      </c>
      <c r="D16" s="17" t="s">
        <v>30</v>
      </c>
      <c r="E16" s="18" t="s">
        <v>31</v>
      </c>
      <c r="F16" s="14"/>
      <c r="G16" s="15"/>
    </row>
    <row r="17" ht="19.5" customHeight="1">
      <c r="A17" s="6" t="s">
        <v>27</v>
      </c>
      <c r="B17" s="6" t="s">
        <v>32</v>
      </c>
      <c r="C17" s="16" t="s">
        <v>29</v>
      </c>
      <c r="D17" s="17" t="s">
        <v>33</v>
      </c>
      <c r="E17" s="19"/>
      <c r="F17" s="14"/>
      <c r="G17" s="15"/>
    </row>
    <row r="18" ht="21.75" customHeight="1">
      <c r="A18" s="6" t="s">
        <v>34</v>
      </c>
      <c r="B18" s="6" t="s">
        <v>35</v>
      </c>
      <c r="C18" s="16" t="s">
        <v>36</v>
      </c>
      <c r="D18" s="17" t="s">
        <v>37</v>
      </c>
      <c r="E18" s="18" t="s">
        <v>38</v>
      </c>
      <c r="F18" s="14"/>
      <c r="G18" s="15"/>
    </row>
    <row r="19" ht="19.5" customHeight="1">
      <c r="A19" s="6" t="s">
        <v>39</v>
      </c>
      <c r="B19" s="6" t="s">
        <v>40</v>
      </c>
      <c r="C19" s="16" t="s">
        <v>41</v>
      </c>
      <c r="D19" s="17" t="s">
        <v>42</v>
      </c>
      <c r="E19" s="19"/>
      <c r="F19" s="14"/>
      <c r="G19" s="15"/>
    </row>
    <row r="20" ht="19.5" customHeight="1">
      <c r="A20" s="6" t="s">
        <v>39</v>
      </c>
      <c r="B20" s="6" t="s">
        <v>40</v>
      </c>
      <c r="C20" s="16" t="s">
        <v>43</v>
      </c>
      <c r="D20" s="17" t="s">
        <v>42</v>
      </c>
      <c r="E20" s="18" t="s">
        <v>44</v>
      </c>
      <c r="F20" s="14"/>
      <c r="G20" s="15"/>
    </row>
    <row r="21" ht="19.5" customHeight="1">
      <c r="A21" s="6" t="s">
        <v>39</v>
      </c>
      <c r="B21" s="6" t="s">
        <v>45</v>
      </c>
      <c r="C21" s="16" t="s">
        <v>46</v>
      </c>
      <c r="D21" s="17" t="s">
        <v>47</v>
      </c>
      <c r="E21" s="18" t="s">
        <v>44</v>
      </c>
      <c r="F21" s="14"/>
      <c r="G21" s="15"/>
    </row>
    <row r="22" ht="19.5" customHeight="1">
      <c r="A22" s="6" t="s">
        <v>39</v>
      </c>
      <c r="B22" s="6" t="s">
        <v>45</v>
      </c>
      <c r="C22" s="16" t="s">
        <v>48</v>
      </c>
      <c r="D22" s="20"/>
      <c r="E22" s="19"/>
      <c r="F22" s="14"/>
      <c r="G22" s="15"/>
    </row>
    <row r="23" ht="19.5" customHeight="1">
      <c r="A23" s="10" t="s">
        <v>49</v>
      </c>
      <c r="B23" s="10" t="s">
        <v>50</v>
      </c>
      <c r="C23" s="10" t="s">
        <v>29</v>
      </c>
      <c r="D23" s="21" t="s">
        <v>51</v>
      </c>
      <c r="E23" s="22" t="s">
        <v>52</v>
      </c>
      <c r="F23" s="14"/>
      <c r="G23" s="15"/>
    </row>
    <row r="24" ht="19.5" customHeight="1">
      <c r="A24" s="10" t="s">
        <v>53</v>
      </c>
      <c r="B24" s="10" t="s">
        <v>54</v>
      </c>
      <c r="C24" s="10" t="s">
        <v>55</v>
      </c>
      <c r="D24" s="21" t="s">
        <v>56</v>
      </c>
      <c r="E24" s="23" t="s">
        <v>57</v>
      </c>
      <c r="F24" s="14"/>
      <c r="G24" s="15"/>
    </row>
    <row r="25" ht="19.5" customHeight="1">
      <c r="A25" s="10" t="s">
        <v>58</v>
      </c>
      <c r="B25" s="10" t="s">
        <v>59</v>
      </c>
      <c r="C25" s="10" t="s">
        <v>60</v>
      </c>
      <c r="D25" s="21" t="s">
        <v>51</v>
      </c>
      <c r="E25" s="24" t="s">
        <v>61</v>
      </c>
      <c r="F25" s="14"/>
      <c r="G25" s="15"/>
    </row>
    <row r="26" ht="19.5" customHeight="1">
      <c r="A26" s="8"/>
      <c r="B26" s="8"/>
      <c r="C26" s="8"/>
      <c r="D26" s="8"/>
      <c r="E26" s="9"/>
      <c r="F26" s="9"/>
      <c r="G26" s="9"/>
    </row>
    <row r="27" ht="19.5" customHeight="1">
      <c r="A27" s="8" t="s">
        <v>35</v>
      </c>
      <c r="B27" s="8"/>
      <c r="C27" s="8"/>
    </row>
    <row r="28" ht="19.5" customHeight="1">
      <c r="A28" s="5" t="s">
        <v>24</v>
      </c>
      <c r="B28" s="5" t="s">
        <v>6</v>
      </c>
      <c r="C28" s="5" t="s">
        <v>62</v>
      </c>
      <c r="D28" s="5" t="s">
        <v>63</v>
      </c>
      <c r="E28" s="5" t="s">
        <v>64</v>
      </c>
      <c r="F28" s="25" t="s">
        <v>65</v>
      </c>
      <c r="G28" s="26"/>
    </row>
    <row r="29" ht="19.5" customHeight="1">
      <c r="A29" s="6" t="s">
        <v>34</v>
      </c>
      <c r="B29" s="6" t="s">
        <v>66</v>
      </c>
      <c r="C29" s="6">
        <v>25.0</v>
      </c>
      <c r="D29" s="6" t="s">
        <v>67</v>
      </c>
      <c r="E29" s="20" t="s">
        <v>68</v>
      </c>
      <c r="F29" s="27" t="s">
        <v>69</v>
      </c>
      <c r="G29" s="28"/>
    </row>
    <row r="30" ht="19.5" customHeight="1">
      <c r="A30" s="6" t="s">
        <v>34</v>
      </c>
      <c r="B30" s="6" t="s">
        <v>39</v>
      </c>
      <c r="C30" s="6">
        <v>1.0</v>
      </c>
      <c r="D30" s="6" t="s">
        <v>70</v>
      </c>
      <c r="E30" s="20" t="s">
        <v>71</v>
      </c>
      <c r="F30" s="27" t="s">
        <v>72</v>
      </c>
      <c r="G30" s="28"/>
    </row>
    <row r="31" ht="19.5" customHeight="1">
      <c r="A31" s="6" t="s">
        <v>34</v>
      </c>
      <c r="B31" s="6" t="s">
        <v>39</v>
      </c>
      <c r="C31" s="6">
        <v>13.0</v>
      </c>
      <c r="D31" s="6" t="s">
        <v>73</v>
      </c>
      <c r="E31" s="20" t="s">
        <v>74</v>
      </c>
      <c r="F31" s="27" t="s">
        <v>75</v>
      </c>
      <c r="G31" s="28"/>
    </row>
    <row r="32" ht="19.5" customHeight="1"/>
    <row r="33" ht="19.5" customHeight="1">
      <c r="A33" s="8" t="s">
        <v>76</v>
      </c>
      <c r="B33" s="8"/>
      <c r="C33" s="8"/>
    </row>
    <row r="34" ht="19.5" customHeight="1">
      <c r="A34" s="5" t="s">
        <v>77</v>
      </c>
      <c r="B34" s="5" t="s">
        <v>78</v>
      </c>
      <c r="C34" s="5" t="s">
        <v>5</v>
      </c>
      <c r="D34" s="29" t="s">
        <v>7</v>
      </c>
      <c r="E34" s="29" t="s">
        <v>79</v>
      </c>
      <c r="F34" s="29" t="s">
        <v>80</v>
      </c>
      <c r="G34" s="29" t="s">
        <v>81</v>
      </c>
    </row>
    <row r="35" ht="19.5" customHeight="1">
      <c r="A35" s="6" t="s">
        <v>82</v>
      </c>
      <c r="B35" s="10" t="s">
        <v>83</v>
      </c>
      <c r="C35" s="10" t="s">
        <v>84</v>
      </c>
      <c r="D35" s="21" t="s">
        <v>85</v>
      </c>
      <c r="E35" s="10" t="s">
        <v>86</v>
      </c>
      <c r="F35" s="6" t="s">
        <v>87</v>
      </c>
      <c r="G35" s="6"/>
    </row>
    <row r="36" ht="19.5" customHeight="1">
      <c r="A36" s="6" t="s">
        <v>82</v>
      </c>
      <c r="B36" s="10" t="s">
        <v>83</v>
      </c>
      <c r="C36" s="10" t="s">
        <v>88</v>
      </c>
      <c r="D36" s="20" t="s">
        <v>89</v>
      </c>
      <c r="E36" s="10" t="s">
        <v>86</v>
      </c>
      <c r="F36" s="6" t="s">
        <v>87</v>
      </c>
      <c r="G36" s="6"/>
    </row>
    <row r="37" ht="19.5" customHeight="1">
      <c r="A37" s="6" t="s">
        <v>90</v>
      </c>
      <c r="B37" s="6" t="s">
        <v>91</v>
      </c>
      <c r="C37" s="16" t="s">
        <v>92</v>
      </c>
      <c r="D37" s="20" t="s">
        <v>89</v>
      </c>
      <c r="E37" s="10" t="s">
        <v>86</v>
      </c>
      <c r="F37" s="6"/>
      <c r="G37" s="6"/>
    </row>
    <row r="38" ht="19.5" customHeight="1">
      <c r="A38" s="6" t="s">
        <v>93</v>
      </c>
      <c r="B38" s="6" t="s">
        <v>94</v>
      </c>
      <c r="C38" s="16" t="s">
        <v>92</v>
      </c>
      <c r="D38" s="20" t="s">
        <v>89</v>
      </c>
      <c r="E38" s="10" t="s">
        <v>86</v>
      </c>
      <c r="F38" s="6"/>
      <c r="G38" s="6"/>
    </row>
    <row r="39" ht="19.5" customHeight="1">
      <c r="A39" s="6" t="s">
        <v>95</v>
      </c>
      <c r="B39" s="6" t="s">
        <v>96</v>
      </c>
      <c r="C39" s="6" t="s">
        <v>92</v>
      </c>
      <c r="D39" s="20"/>
      <c r="E39" s="6" t="s">
        <v>97</v>
      </c>
      <c r="F39" s="6"/>
      <c r="G39" s="6"/>
    </row>
    <row r="40" ht="19.5" customHeight="1">
      <c r="A40" s="6" t="s">
        <v>98</v>
      </c>
      <c r="B40" s="6" t="s">
        <v>99</v>
      </c>
      <c r="C40" s="6" t="s">
        <v>92</v>
      </c>
      <c r="D40" s="20"/>
      <c r="E40" s="6" t="s">
        <v>100</v>
      </c>
      <c r="F40" s="6"/>
      <c r="G40" s="6"/>
    </row>
    <row r="41" ht="19.5" customHeight="1">
      <c r="A41" s="6" t="s">
        <v>101</v>
      </c>
      <c r="B41" s="6" t="s">
        <v>102</v>
      </c>
      <c r="C41" s="6" t="s">
        <v>92</v>
      </c>
      <c r="D41" s="20"/>
      <c r="E41" s="6" t="s">
        <v>103</v>
      </c>
      <c r="F41" s="6"/>
      <c r="G41" s="6"/>
    </row>
    <row r="42" ht="19.5" customHeight="1">
      <c r="A42" s="6" t="s">
        <v>104</v>
      </c>
      <c r="B42" s="6" t="s">
        <v>105</v>
      </c>
      <c r="C42" s="16" t="s">
        <v>92</v>
      </c>
      <c r="D42" s="20"/>
      <c r="E42" s="6" t="s">
        <v>106</v>
      </c>
      <c r="F42" s="6"/>
      <c r="G42" s="6"/>
    </row>
    <row r="43" ht="19.5" customHeight="1">
      <c r="A43" s="6" t="s">
        <v>107</v>
      </c>
      <c r="B43" s="6" t="s">
        <v>108</v>
      </c>
      <c r="C43" s="16" t="s">
        <v>109</v>
      </c>
      <c r="D43" s="20"/>
      <c r="E43" s="6" t="s">
        <v>110</v>
      </c>
      <c r="F43" s="6"/>
      <c r="G43" s="6"/>
    </row>
    <row r="44" ht="19.5" customHeight="1">
      <c r="A44" s="6" t="s">
        <v>111</v>
      </c>
      <c r="B44" s="6" t="s">
        <v>112</v>
      </c>
      <c r="C44" s="16" t="s">
        <v>113</v>
      </c>
      <c r="D44" s="20" t="s">
        <v>13</v>
      </c>
      <c r="E44" s="6" t="s">
        <v>114</v>
      </c>
      <c r="F44" s="6"/>
      <c r="G44" s="6"/>
    </row>
    <row r="45" ht="19.5" customHeight="1">
      <c r="A45" s="6" t="s">
        <v>115</v>
      </c>
      <c r="B45" s="6" t="s">
        <v>116</v>
      </c>
      <c r="C45" s="16" t="s">
        <v>117</v>
      </c>
      <c r="D45" s="20" t="s">
        <v>13</v>
      </c>
      <c r="E45" s="6" t="s">
        <v>118</v>
      </c>
      <c r="F45" s="6"/>
      <c r="G45" s="6"/>
    </row>
    <row r="46" ht="15.75" customHeight="1"/>
    <row r="47" ht="19.5" customHeight="1">
      <c r="A47" s="8" t="s">
        <v>119</v>
      </c>
      <c r="B47" s="8"/>
      <c r="C47" s="8"/>
    </row>
    <row r="48" ht="19.5" customHeight="1">
      <c r="A48" s="5" t="s">
        <v>6</v>
      </c>
      <c r="B48" s="5" t="s">
        <v>78</v>
      </c>
      <c r="C48" s="5" t="s">
        <v>5</v>
      </c>
      <c r="D48" s="5" t="s">
        <v>120</v>
      </c>
      <c r="E48" s="5" t="s">
        <v>121</v>
      </c>
    </row>
    <row r="49" ht="19.5" customHeight="1">
      <c r="A49" s="6" t="s">
        <v>122</v>
      </c>
      <c r="B49" s="6"/>
      <c r="C49" s="6" t="s">
        <v>123</v>
      </c>
      <c r="D49" s="6" t="s">
        <v>124</v>
      </c>
      <c r="E49" s="6" t="s">
        <v>125</v>
      </c>
    </row>
    <row r="50" ht="19.5" customHeight="1">
      <c r="A50" s="6" t="s">
        <v>126</v>
      </c>
      <c r="B50" s="6"/>
      <c r="C50" s="6"/>
      <c r="D50" s="6" t="s">
        <v>127</v>
      </c>
      <c r="E50" s="6" t="s">
        <v>128</v>
      </c>
    </row>
    <row r="51" ht="19.5" customHeight="1">
      <c r="A51" s="6" t="s">
        <v>129</v>
      </c>
      <c r="B51" s="6"/>
      <c r="C51" s="6"/>
      <c r="D51" s="6" t="s">
        <v>130</v>
      </c>
      <c r="E51" s="6" t="s">
        <v>131</v>
      </c>
    </row>
    <row r="52" ht="19.5" customHeight="1">
      <c r="A52" s="6"/>
      <c r="B52" s="6"/>
      <c r="C52" s="6"/>
      <c r="D52" s="6"/>
      <c r="E52" s="6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G1"/>
    <mergeCell ref="E15:G15"/>
    <mergeCell ref="E16:G16"/>
    <mergeCell ref="E17:G17"/>
    <mergeCell ref="E18:G18"/>
    <mergeCell ref="E19:G19"/>
    <mergeCell ref="E20:G20"/>
    <mergeCell ref="F30:G30"/>
    <mergeCell ref="F31:G31"/>
    <mergeCell ref="E21:G21"/>
    <mergeCell ref="E22:G22"/>
    <mergeCell ref="E23:G23"/>
    <mergeCell ref="E24:G24"/>
    <mergeCell ref="E25:G25"/>
    <mergeCell ref="F28:G28"/>
    <mergeCell ref="F29:G29"/>
  </mergeCells>
  <hyperlinks>
    <hyperlink r:id="rId1" ref="D5"/>
    <hyperlink r:id="rId2" ref="C16"/>
    <hyperlink r:id="rId3" ref="D16"/>
    <hyperlink r:id="rId4" location="?lang=pt_BR" ref="E16"/>
    <hyperlink r:id="rId5" ref="C17"/>
    <hyperlink r:id="rId6" ref="D17"/>
    <hyperlink r:id="rId7" ref="C18"/>
    <hyperlink r:id="rId8" ref="D18"/>
    <hyperlink r:id="rId9" ref="E18"/>
    <hyperlink r:id="rId10" ref="C19"/>
    <hyperlink r:id="rId11" ref="D19"/>
    <hyperlink r:id="rId12" ref="C20"/>
    <hyperlink r:id="rId13" ref="D20"/>
    <hyperlink r:id="rId14" ref="E20"/>
    <hyperlink r:id="rId15" ref="C21"/>
    <hyperlink r:id="rId16" ref="D21"/>
    <hyperlink r:id="rId17" ref="E21"/>
    <hyperlink r:id="rId18" ref="C22"/>
    <hyperlink r:id="rId19" ref="E23"/>
    <hyperlink r:id="rId20" ref="E24"/>
    <hyperlink r:id="rId21" ref="E25"/>
    <hyperlink r:id="rId22" ref="C37"/>
    <hyperlink r:id="rId23" ref="C38"/>
    <hyperlink r:id="rId24" ref="C42"/>
    <hyperlink r:id="rId25" location="Ablv@2020" ref="C43"/>
    <hyperlink r:id="rId26" ref="C44"/>
    <hyperlink r:id="rId27" ref="C45"/>
  </hyperlinks>
  <printOptions/>
  <pageMargins bottom="0.787401575" footer="0.0" header="0.0" left="0.511811024" right="0.511811024" top="0.787401575"/>
  <pageSetup paperSize="9" orientation="portrait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 fitToPage="1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14"/>
    <col customWidth="1" min="2" max="2" width="25.86"/>
    <col customWidth="1" min="3" max="3" width="31.57"/>
    <col customWidth="1" min="4" max="4" width="13.57"/>
    <col customWidth="1" min="5" max="5" width="19.71"/>
    <col customWidth="1" min="6" max="6" width="17.86"/>
    <col customWidth="1" min="7" max="8" width="14.57"/>
    <col customWidth="1" min="9" max="9" width="12.14"/>
    <col customWidth="1" min="10" max="10" width="16.71"/>
    <col customWidth="1" min="11" max="11" width="16.86"/>
    <col customWidth="1" min="12" max="12" width="18.14"/>
    <col customWidth="1" min="13" max="13" width="8.14"/>
    <col customWidth="1" min="14" max="14" width="10.0"/>
    <col customWidth="1" min="15" max="15" width="15.14"/>
    <col customWidth="1" min="16" max="16" width="29.71"/>
    <col customWidth="1" min="17" max="17" width="36.0"/>
    <col customWidth="1" min="18" max="18" width="23.86"/>
    <col customWidth="1" min="19" max="19" width="32.86"/>
    <col customWidth="1" min="20" max="20" width="12.14"/>
    <col customWidth="1" min="21" max="21" width="13.57"/>
    <col customWidth="1" min="22" max="27" width="8.86"/>
  </cols>
  <sheetData>
    <row r="1" ht="19.5" customHeight="1">
      <c r="A1" s="5" t="s">
        <v>132</v>
      </c>
      <c r="B1" s="5" t="s">
        <v>133</v>
      </c>
      <c r="C1" s="5" t="s">
        <v>134</v>
      </c>
      <c r="D1" s="5" t="s">
        <v>78</v>
      </c>
      <c r="E1" s="5" t="s">
        <v>5</v>
      </c>
      <c r="F1" s="5" t="s">
        <v>135</v>
      </c>
      <c r="G1" s="11" t="s">
        <v>7</v>
      </c>
      <c r="H1" s="5" t="s">
        <v>136</v>
      </c>
      <c r="I1" s="5" t="s">
        <v>137</v>
      </c>
      <c r="J1" s="5" t="s">
        <v>138</v>
      </c>
      <c r="K1" s="5" t="s">
        <v>139</v>
      </c>
      <c r="L1" s="5" t="s">
        <v>140</v>
      </c>
      <c r="M1" s="5" t="s">
        <v>141</v>
      </c>
      <c r="N1" s="5" t="s">
        <v>142</v>
      </c>
      <c r="O1" s="5" t="s">
        <v>143</v>
      </c>
      <c r="P1" s="5" t="s">
        <v>70</v>
      </c>
      <c r="Q1" s="5" t="s">
        <v>144</v>
      </c>
      <c r="R1" s="5" t="s">
        <v>145</v>
      </c>
      <c r="S1" s="5" t="s">
        <v>146</v>
      </c>
      <c r="T1" s="5" t="s">
        <v>147</v>
      </c>
      <c r="U1" s="11" t="s">
        <v>119</v>
      </c>
      <c r="V1" s="30"/>
      <c r="W1" s="30"/>
      <c r="X1" s="30"/>
      <c r="Y1" s="30"/>
      <c r="Z1" s="30"/>
      <c r="AA1" s="30"/>
    </row>
    <row r="2" ht="19.5" customHeight="1">
      <c r="A2" s="10">
        <v>1.0</v>
      </c>
      <c r="B2" s="6" t="s">
        <v>148</v>
      </c>
      <c r="C2" s="10" t="s">
        <v>149</v>
      </c>
      <c r="D2" s="10" t="s">
        <v>10</v>
      </c>
      <c r="E2" s="10" t="s">
        <v>11</v>
      </c>
      <c r="F2" s="10" t="s">
        <v>8</v>
      </c>
      <c r="G2" s="10" t="s">
        <v>13</v>
      </c>
      <c r="H2" s="6" t="s">
        <v>150</v>
      </c>
      <c r="I2" s="6" t="s">
        <v>151</v>
      </c>
      <c r="J2" s="6" t="s">
        <v>152</v>
      </c>
      <c r="K2" s="6" t="s">
        <v>153</v>
      </c>
      <c r="L2" s="6" t="s">
        <v>154</v>
      </c>
      <c r="M2" s="6" t="s">
        <v>155</v>
      </c>
      <c r="N2" s="6" t="s">
        <v>156</v>
      </c>
      <c r="O2" s="6" t="s">
        <v>157</v>
      </c>
      <c r="P2" s="6" t="s">
        <v>158</v>
      </c>
      <c r="Q2" s="6" t="s">
        <v>159</v>
      </c>
      <c r="R2" s="6"/>
      <c r="S2" s="6"/>
      <c r="T2" s="6" t="s">
        <v>160</v>
      </c>
      <c r="U2" s="6"/>
      <c r="V2" s="30"/>
      <c r="W2" s="30"/>
      <c r="X2" s="30"/>
      <c r="Y2" s="30"/>
      <c r="Z2" s="30"/>
      <c r="AA2" s="30"/>
    </row>
    <row r="3" ht="19.5" customHeight="1">
      <c r="A3" s="10">
        <v>2.0</v>
      </c>
      <c r="B3" s="6" t="s">
        <v>161</v>
      </c>
      <c r="C3" s="6" t="s">
        <v>162</v>
      </c>
      <c r="D3" s="10" t="s">
        <v>163</v>
      </c>
      <c r="E3" s="10" t="s">
        <v>164</v>
      </c>
      <c r="F3" s="10" t="s">
        <v>165</v>
      </c>
      <c r="G3" s="10" t="s">
        <v>166</v>
      </c>
      <c r="H3" s="6" t="s">
        <v>167</v>
      </c>
      <c r="I3" s="6" t="s">
        <v>151</v>
      </c>
      <c r="J3" s="6" t="s">
        <v>168</v>
      </c>
      <c r="K3" s="6" t="s">
        <v>169</v>
      </c>
      <c r="L3" s="6" t="s">
        <v>170</v>
      </c>
      <c r="M3" s="6" t="s">
        <v>171</v>
      </c>
      <c r="N3" s="6" t="s">
        <v>172</v>
      </c>
      <c r="O3" s="6" t="s">
        <v>157</v>
      </c>
      <c r="P3" s="6" t="s">
        <v>173</v>
      </c>
      <c r="Q3" s="6" t="s">
        <v>174</v>
      </c>
      <c r="R3" s="6" t="s">
        <v>175</v>
      </c>
      <c r="S3" s="6"/>
      <c r="T3" s="6" t="s">
        <v>160</v>
      </c>
      <c r="U3" s="10"/>
      <c r="V3" s="30"/>
      <c r="W3" s="30"/>
      <c r="X3" s="30"/>
      <c r="Y3" s="30"/>
      <c r="Z3" s="30"/>
      <c r="AA3" s="30"/>
    </row>
    <row r="4" ht="19.5" customHeight="1">
      <c r="A4" s="10">
        <v>3.0</v>
      </c>
      <c r="B4" s="10" t="s">
        <v>176</v>
      </c>
      <c r="C4" s="6" t="s">
        <v>177</v>
      </c>
      <c r="D4" s="10" t="s">
        <v>178</v>
      </c>
      <c r="E4" s="10" t="s">
        <v>179</v>
      </c>
      <c r="F4" s="10" t="s">
        <v>180</v>
      </c>
      <c r="G4" s="10" t="s">
        <v>181</v>
      </c>
      <c r="H4" s="6" t="s">
        <v>182</v>
      </c>
      <c r="I4" s="6" t="s">
        <v>151</v>
      </c>
      <c r="J4" s="31" t="s">
        <v>183</v>
      </c>
      <c r="K4" s="6" t="s">
        <v>184</v>
      </c>
      <c r="L4" s="6" t="s">
        <v>185</v>
      </c>
      <c r="M4" s="6" t="s">
        <v>155</v>
      </c>
      <c r="N4" s="6" t="s">
        <v>186</v>
      </c>
      <c r="O4" s="6" t="s">
        <v>157</v>
      </c>
      <c r="P4" s="10" t="s">
        <v>187</v>
      </c>
      <c r="Q4" s="6" t="s">
        <v>174</v>
      </c>
      <c r="R4" s="6" t="s">
        <v>188</v>
      </c>
      <c r="S4" s="6" t="s">
        <v>75</v>
      </c>
      <c r="T4" s="6" t="s">
        <v>160</v>
      </c>
      <c r="U4" s="6"/>
      <c r="V4" s="32"/>
      <c r="W4" s="32"/>
      <c r="X4" s="32"/>
      <c r="Y4" s="32"/>
      <c r="Z4" s="32"/>
      <c r="AA4" s="32"/>
    </row>
    <row r="5" ht="19.5" customHeight="1">
      <c r="A5" s="10">
        <v>4.0</v>
      </c>
      <c r="B5" s="10" t="s">
        <v>189</v>
      </c>
      <c r="C5" s="10" t="s">
        <v>190</v>
      </c>
      <c r="D5" s="10" t="s">
        <v>124</v>
      </c>
      <c r="E5" s="33" t="s">
        <v>191</v>
      </c>
      <c r="F5" s="10" t="s">
        <v>192</v>
      </c>
      <c r="G5" s="10" t="s">
        <v>193</v>
      </c>
      <c r="H5" s="6" t="s">
        <v>182</v>
      </c>
      <c r="I5" s="6" t="s">
        <v>151</v>
      </c>
      <c r="J5" s="6" t="s">
        <v>194</v>
      </c>
      <c r="K5" s="6" t="s">
        <v>184</v>
      </c>
      <c r="L5" s="6" t="s">
        <v>185</v>
      </c>
      <c r="M5" s="6" t="s">
        <v>155</v>
      </c>
      <c r="N5" s="6" t="s">
        <v>186</v>
      </c>
      <c r="O5" s="6" t="s">
        <v>157</v>
      </c>
      <c r="P5" s="6" t="s">
        <v>195</v>
      </c>
      <c r="Q5" s="6" t="s">
        <v>174</v>
      </c>
      <c r="R5" s="6" t="s">
        <v>188</v>
      </c>
      <c r="S5" s="6" t="s">
        <v>75</v>
      </c>
      <c r="T5" s="6" t="s">
        <v>160</v>
      </c>
      <c r="U5" s="10"/>
      <c r="V5" s="34"/>
      <c r="W5" s="34"/>
      <c r="X5" s="34"/>
      <c r="Y5" s="34"/>
      <c r="Z5" s="34"/>
      <c r="AA5" s="34"/>
    </row>
    <row r="6" ht="19.5" customHeight="1">
      <c r="A6" s="10">
        <v>5.0</v>
      </c>
      <c r="B6" s="6" t="s">
        <v>196</v>
      </c>
      <c r="C6" s="10" t="s">
        <v>197</v>
      </c>
      <c r="D6" s="10" t="s">
        <v>198</v>
      </c>
      <c r="E6" s="10" t="s">
        <v>199</v>
      </c>
      <c r="F6" s="10" t="s">
        <v>200</v>
      </c>
      <c r="G6" s="10" t="s">
        <v>201</v>
      </c>
      <c r="H6" s="6" t="s">
        <v>182</v>
      </c>
      <c r="I6" s="6" t="s">
        <v>151</v>
      </c>
      <c r="J6" s="31" t="s">
        <v>202</v>
      </c>
      <c r="K6" s="6" t="s">
        <v>184</v>
      </c>
      <c r="L6" s="6" t="s">
        <v>185</v>
      </c>
      <c r="M6" s="6" t="s">
        <v>155</v>
      </c>
      <c r="N6" s="6" t="s">
        <v>186</v>
      </c>
      <c r="O6" s="6" t="s">
        <v>157</v>
      </c>
      <c r="P6" s="6" t="s">
        <v>195</v>
      </c>
      <c r="Q6" s="6" t="s">
        <v>174</v>
      </c>
      <c r="R6" s="6" t="s">
        <v>188</v>
      </c>
      <c r="S6" s="6" t="s">
        <v>75</v>
      </c>
      <c r="T6" s="6" t="s">
        <v>160</v>
      </c>
      <c r="U6" s="10" t="s">
        <v>203</v>
      </c>
      <c r="V6" s="34"/>
      <c r="W6" s="34"/>
      <c r="X6" s="34"/>
      <c r="Y6" s="34"/>
      <c r="Z6" s="34"/>
      <c r="AA6" s="34"/>
    </row>
    <row r="7" ht="19.5" customHeight="1">
      <c r="A7" s="10">
        <v>6.0</v>
      </c>
      <c r="B7" s="6" t="s">
        <v>204</v>
      </c>
      <c r="C7" s="10" t="s">
        <v>205</v>
      </c>
      <c r="D7" s="10"/>
      <c r="E7" s="10"/>
      <c r="F7" s="10" t="s">
        <v>206</v>
      </c>
      <c r="G7" s="10" t="s">
        <v>207</v>
      </c>
      <c r="H7" s="6" t="s">
        <v>182</v>
      </c>
      <c r="I7" s="6" t="s">
        <v>151</v>
      </c>
      <c r="J7" s="6" t="s">
        <v>194</v>
      </c>
      <c r="K7" s="6" t="s">
        <v>184</v>
      </c>
      <c r="L7" s="6" t="s">
        <v>185</v>
      </c>
      <c r="M7" s="6" t="s">
        <v>155</v>
      </c>
      <c r="N7" s="6" t="s">
        <v>186</v>
      </c>
      <c r="O7" s="6" t="s">
        <v>157</v>
      </c>
      <c r="P7" s="6" t="s">
        <v>195</v>
      </c>
      <c r="Q7" s="6" t="s">
        <v>174</v>
      </c>
      <c r="R7" s="6" t="s">
        <v>188</v>
      </c>
      <c r="S7" s="6" t="s">
        <v>75</v>
      </c>
      <c r="T7" s="6" t="s">
        <v>160</v>
      </c>
      <c r="U7" s="10"/>
      <c r="V7" s="30"/>
      <c r="W7" s="30"/>
      <c r="X7" s="30"/>
      <c r="Y7" s="30"/>
      <c r="Z7" s="30"/>
      <c r="AA7" s="30"/>
    </row>
    <row r="8" ht="19.5" customHeight="1">
      <c r="A8" s="10">
        <v>7.0</v>
      </c>
      <c r="B8" s="6" t="s">
        <v>208</v>
      </c>
      <c r="C8" s="6" t="s">
        <v>149</v>
      </c>
      <c r="D8" s="10" t="s">
        <v>97</v>
      </c>
      <c r="E8" s="33" t="s">
        <v>209</v>
      </c>
      <c r="F8" s="10" t="s">
        <v>210</v>
      </c>
      <c r="G8" s="10" t="s">
        <v>211</v>
      </c>
      <c r="H8" s="6" t="s">
        <v>182</v>
      </c>
      <c r="I8" s="6" t="s">
        <v>151</v>
      </c>
      <c r="J8" s="6" t="s">
        <v>212</v>
      </c>
      <c r="K8" s="6" t="s">
        <v>184</v>
      </c>
      <c r="L8" s="6" t="s">
        <v>185</v>
      </c>
      <c r="M8" s="6" t="s">
        <v>155</v>
      </c>
      <c r="N8" s="6" t="s">
        <v>186</v>
      </c>
      <c r="O8" s="6" t="s">
        <v>157</v>
      </c>
      <c r="P8" s="6" t="s">
        <v>195</v>
      </c>
      <c r="Q8" s="6" t="s">
        <v>213</v>
      </c>
      <c r="R8" s="6"/>
      <c r="S8" s="6"/>
      <c r="T8" s="6" t="s">
        <v>160</v>
      </c>
      <c r="U8" s="10"/>
      <c r="V8" s="34"/>
      <c r="W8" s="34"/>
      <c r="X8" s="34"/>
      <c r="Y8" s="34"/>
      <c r="Z8" s="34"/>
      <c r="AA8" s="34"/>
    </row>
    <row r="9" ht="19.5" customHeight="1">
      <c r="A9" s="10">
        <v>8.0</v>
      </c>
      <c r="B9" s="6" t="s">
        <v>214</v>
      </c>
      <c r="C9" s="10" t="s">
        <v>215</v>
      </c>
      <c r="D9" s="10"/>
      <c r="E9" s="10"/>
      <c r="F9" s="10" t="s">
        <v>216</v>
      </c>
      <c r="G9" s="10" t="s">
        <v>217</v>
      </c>
      <c r="H9" s="6" t="s">
        <v>182</v>
      </c>
      <c r="I9" s="6" t="s">
        <v>151</v>
      </c>
      <c r="J9" s="6" t="s">
        <v>168</v>
      </c>
      <c r="K9" s="6" t="s">
        <v>184</v>
      </c>
      <c r="L9" s="6" t="s">
        <v>185</v>
      </c>
      <c r="M9" s="6" t="s">
        <v>155</v>
      </c>
      <c r="N9" s="6" t="s">
        <v>186</v>
      </c>
      <c r="O9" s="6" t="s">
        <v>157</v>
      </c>
      <c r="P9" s="6" t="s">
        <v>195</v>
      </c>
      <c r="Q9" s="6" t="s">
        <v>174</v>
      </c>
      <c r="R9" s="6" t="s">
        <v>188</v>
      </c>
      <c r="S9" s="6" t="s">
        <v>75</v>
      </c>
      <c r="T9" s="6" t="s">
        <v>160</v>
      </c>
      <c r="U9" s="10"/>
      <c r="V9" s="34"/>
      <c r="W9" s="34"/>
      <c r="X9" s="34"/>
      <c r="Y9" s="34"/>
      <c r="Z9" s="34"/>
      <c r="AA9" s="34"/>
    </row>
    <row r="10" ht="19.5" customHeight="1">
      <c r="A10" s="10">
        <v>9.0</v>
      </c>
      <c r="B10" s="6" t="s">
        <v>218</v>
      </c>
      <c r="C10" s="6" t="s">
        <v>219</v>
      </c>
      <c r="D10" s="6" t="s">
        <v>130</v>
      </c>
      <c r="E10" s="33" t="s">
        <v>220</v>
      </c>
      <c r="F10" s="10" t="s">
        <v>221</v>
      </c>
      <c r="G10" s="35" t="s">
        <v>222</v>
      </c>
      <c r="H10" s="6" t="s">
        <v>182</v>
      </c>
      <c r="I10" s="6" t="s">
        <v>151</v>
      </c>
      <c r="J10" s="31" t="s">
        <v>202</v>
      </c>
      <c r="K10" s="6" t="s">
        <v>184</v>
      </c>
      <c r="L10" s="6" t="s">
        <v>185</v>
      </c>
      <c r="M10" s="6" t="s">
        <v>155</v>
      </c>
      <c r="N10" s="6" t="s">
        <v>186</v>
      </c>
      <c r="O10" s="6" t="s">
        <v>157</v>
      </c>
      <c r="P10" s="6" t="s">
        <v>195</v>
      </c>
      <c r="Q10" s="6" t="s">
        <v>174</v>
      </c>
      <c r="R10" s="6" t="s">
        <v>188</v>
      </c>
      <c r="S10" s="6" t="s">
        <v>75</v>
      </c>
      <c r="T10" s="6" t="s">
        <v>160</v>
      </c>
      <c r="U10" s="6"/>
      <c r="V10" s="34"/>
      <c r="W10" s="34"/>
      <c r="X10" s="34"/>
      <c r="Y10" s="34"/>
      <c r="Z10" s="34"/>
      <c r="AA10" s="34"/>
    </row>
    <row r="11" ht="19.5" customHeight="1">
      <c r="A11" s="10">
        <v>10.0</v>
      </c>
      <c r="B11" s="6" t="s">
        <v>223</v>
      </c>
      <c r="C11" s="10" t="s">
        <v>224</v>
      </c>
      <c r="D11" s="10" t="s">
        <v>225</v>
      </c>
      <c r="E11" s="10">
        <v>239510.0</v>
      </c>
      <c r="F11" s="10" t="s">
        <v>226</v>
      </c>
      <c r="G11" s="35" t="s">
        <v>227</v>
      </c>
      <c r="H11" s="6" t="s">
        <v>182</v>
      </c>
      <c r="I11" s="6" t="s">
        <v>151</v>
      </c>
      <c r="J11" s="31" t="s">
        <v>212</v>
      </c>
      <c r="K11" s="6" t="s">
        <v>184</v>
      </c>
      <c r="L11" s="6" t="s">
        <v>185</v>
      </c>
      <c r="M11" s="6" t="s">
        <v>155</v>
      </c>
      <c r="N11" s="6" t="s">
        <v>186</v>
      </c>
      <c r="O11" s="6" t="s">
        <v>157</v>
      </c>
      <c r="P11" s="6" t="s">
        <v>195</v>
      </c>
      <c r="Q11" s="6" t="s">
        <v>174</v>
      </c>
      <c r="R11" s="6" t="s">
        <v>188</v>
      </c>
      <c r="S11" s="6" t="s">
        <v>75</v>
      </c>
      <c r="T11" s="6" t="s">
        <v>160</v>
      </c>
      <c r="U11" s="6"/>
      <c r="V11" s="30"/>
      <c r="W11" s="30"/>
      <c r="X11" s="30"/>
      <c r="Y11" s="30"/>
      <c r="Z11" s="30"/>
      <c r="AA11" s="30"/>
    </row>
    <row r="12" ht="19.5" customHeight="1">
      <c r="A12" s="10">
        <v>11.0</v>
      </c>
      <c r="B12" s="10" t="s">
        <v>228</v>
      </c>
      <c r="C12" s="10" t="s">
        <v>229</v>
      </c>
      <c r="D12" s="10" t="s">
        <v>230</v>
      </c>
      <c r="E12" s="10" t="s">
        <v>231</v>
      </c>
      <c r="F12" s="10" t="s">
        <v>232</v>
      </c>
      <c r="G12" s="10" t="s">
        <v>233</v>
      </c>
      <c r="H12" s="6" t="s">
        <v>182</v>
      </c>
      <c r="I12" s="10" t="s">
        <v>234</v>
      </c>
      <c r="J12" s="6"/>
      <c r="K12" s="6"/>
      <c r="L12" s="6"/>
      <c r="M12" s="10"/>
      <c r="N12" s="10" t="s">
        <v>235</v>
      </c>
      <c r="O12" s="6"/>
      <c r="P12" s="6"/>
      <c r="Q12" s="6"/>
      <c r="R12" s="6"/>
      <c r="S12" s="6"/>
      <c r="T12" s="6"/>
      <c r="U12" s="10" t="s">
        <v>236</v>
      </c>
      <c r="V12" s="30"/>
      <c r="W12" s="30"/>
      <c r="X12" s="30"/>
      <c r="Y12" s="30"/>
      <c r="Z12" s="30"/>
      <c r="AA12" s="30"/>
    </row>
    <row r="13" ht="19.5" customHeight="1">
      <c r="A13" s="10">
        <v>12.0</v>
      </c>
      <c r="B13" s="6" t="s">
        <v>237</v>
      </c>
      <c r="C13" s="6" t="s">
        <v>238</v>
      </c>
      <c r="D13" s="10" t="s">
        <v>239</v>
      </c>
      <c r="E13" s="10" t="s">
        <v>240</v>
      </c>
      <c r="F13" s="10" t="s">
        <v>241</v>
      </c>
      <c r="G13" s="10" t="s">
        <v>242</v>
      </c>
      <c r="H13" s="6" t="s">
        <v>182</v>
      </c>
      <c r="I13" s="6" t="s">
        <v>151</v>
      </c>
      <c r="J13" s="6" t="s">
        <v>243</v>
      </c>
      <c r="K13" s="6" t="s">
        <v>184</v>
      </c>
      <c r="L13" s="6" t="s">
        <v>185</v>
      </c>
      <c r="M13" s="10" t="s">
        <v>244</v>
      </c>
      <c r="N13" s="6" t="s">
        <v>186</v>
      </c>
      <c r="O13" s="6" t="s">
        <v>157</v>
      </c>
      <c r="P13" s="6" t="s">
        <v>195</v>
      </c>
      <c r="Q13" s="6" t="s">
        <v>245</v>
      </c>
      <c r="R13" s="6" t="s">
        <v>188</v>
      </c>
      <c r="S13" s="6" t="s">
        <v>75</v>
      </c>
      <c r="T13" s="6" t="s">
        <v>160</v>
      </c>
      <c r="U13" s="6"/>
      <c r="V13" s="30"/>
      <c r="W13" s="30"/>
      <c r="X13" s="30"/>
      <c r="Y13" s="30"/>
      <c r="Z13" s="30"/>
      <c r="AA13" s="30"/>
    </row>
    <row r="14" ht="19.5" customHeight="1">
      <c r="A14" s="10">
        <v>13.0</v>
      </c>
      <c r="B14" s="6" t="s">
        <v>246</v>
      </c>
      <c r="C14" s="10" t="s">
        <v>247</v>
      </c>
      <c r="D14" s="10" t="s">
        <v>248</v>
      </c>
      <c r="E14" s="33" t="s">
        <v>249</v>
      </c>
      <c r="F14" s="10" t="s">
        <v>250</v>
      </c>
      <c r="G14" s="10" t="s">
        <v>251</v>
      </c>
      <c r="H14" s="6" t="s">
        <v>182</v>
      </c>
      <c r="I14" s="6"/>
      <c r="J14" s="31"/>
      <c r="K14" s="6"/>
      <c r="L14" s="6"/>
      <c r="M14" s="6"/>
      <c r="N14" s="6"/>
      <c r="O14" s="6" t="s">
        <v>157</v>
      </c>
      <c r="P14" s="6" t="s">
        <v>195</v>
      </c>
      <c r="Q14" s="6" t="s">
        <v>174</v>
      </c>
      <c r="R14" s="6" t="s">
        <v>188</v>
      </c>
      <c r="S14" s="6" t="s">
        <v>75</v>
      </c>
      <c r="T14" s="6" t="s">
        <v>160</v>
      </c>
      <c r="U14" s="10"/>
      <c r="V14" s="34"/>
      <c r="W14" s="34"/>
      <c r="X14" s="34"/>
      <c r="Y14" s="34"/>
      <c r="Z14" s="34"/>
      <c r="AA14" s="34"/>
    </row>
    <row r="15" ht="19.5" customHeight="1">
      <c r="A15" s="10">
        <v>14.0</v>
      </c>
      <c r="B15" s="6" t="s">
        <v>252</v>
      </c>
      <c r="C15" s="6" t="s">
        <v>219</v>
      </c>
      <c r="D15" s="6" t="s">
        <v>130</v>
      </c>
      <c r="E15" s="33" t="s">
        <v>220</v>
      </c>
      <c r="F15" s="10" t="s">
        <v>253</v>
      </c>
      <c r="G15" s="10" t="s">
        <v>254</v>
      </c>
      <c r="H15" s="6" t="s">
        <v>182</v>
      </c>
      <c r="I15" s="6" t="s">
        <v>151</v>
      </c>
      <c r="J15" s="31" t="s">
        <v>183</v>
      </c>
      <c r="K15" s="6" t="s">
        <v>184</v>
      </c>
      <c r="L15" s="6" t="s">
        <v>185</v>
      </c>
      <c r="M15" s="6" t="s">
        <v>155</v>
      </c>
      <c r="N15" s="6" t="s">
        <v>186</v>
      </c>
      <c r="O15" s="6" t="s">
        <v>157</v>
      </c>
      <c r="P15" s="6" t="s">
        <v>195</v>
      </c>
      <c r="Q15" s="6" t="s">
        <v>174</v>
      </c>
      <c r="R15" s="6" t="s">
        <v>188</v>
      </c>
      <c r="S15" s="6" t="s">
        <v>75</v>
      </c>
      <c r="T15" s="6" t="s">
        <v>160</v>
      </c>
      <c r="U15" s="6"/>
      <c r="V15" s="34"/>
      <c r="W15" s="34"/>
      <c r="X15" s="34"/>
      <c r="Y15" s="34"/>
      <c r="Z15" s="34"/>
      <c r="AA15" s="34"/>
    </row>
    <row r="16" ht="19.5" customHeight="1">
      <c r="A16" s="10">
        <v>15.0</v>
      </c>
      <c r="B16" s="6" t="s">
        <v>102</v>
      </c>
      <c r="C16" s="10" t="s">
        <v>255</v>
      </c>
      <c r="D16" s="10" t="s">
        <v>256</v>
      </c>
      <c r="E16" s="10" t="s">
        <v>240</v>
      </c>
      <c r="F16" s="10" t="s">
        <v>257</v>
      </c>
      <c r="G16" s="10" t="s">
        <v>258</v>
      </c>
      <c r="H16" s="6" t="s">
        <v>182</v>
      </c>
      <c r="I16" s="6" t="s">
        <v>151</v>
      </c>
      <c r="J16" s="31" t="s">
        <v>259</v>
      </c>
      <c r="K16" s="6" t="s">
        <v>184</v>
      </c>
      <c r="L16" s="6" t="s">
        <v>185</v>
      </c>
      <c r="M16" s="6" t="s">
        <v>155</v>
      </c>
      <c r="N16" s="6" t="s">
        <v>186</v>
      </c>
      <c r="O16" s="6" t="s">
        <v>157</v>
      </c>
      <c r="P16" s="6" t="s">
        <v>195</v>
      </c>
      <c r="Q16" s="6" t="s">
        <v>174</v>
      </c>
      <c r="R16" s="6" t="s">
        <v>188</v>
      </c>
      <c r="S16" s="6" t="s">
        <v>75</v>
      </c>
      <c r="T16" s="6" t="s">
        <v>160</v>
      </c>
      <c r="U16" s="6"/>
      <c r="V16" s="30"/>
      <c r="W16" s="30"/>
      <c r="X16" s="30"/>
      <c r="Y16" s="30"/>
      <c r="Z16" s="30"/>
      <c r="AA16" s="30"/>
    </row>
    <row r="17" ht="19.5" customHeight="1">
      <c r="A17" s="10">
        <v>16.0</v>
      </c>
      <c r="B17" s="6" t="s">
        <v>260</v>
      </c>
      <c r="C17" s="6" t="s">
        <v>149</v>
      </c>
      <c r="D17" s="10" t="s">
        <v>97</v>
      </c>
      <c r="E17" s="33" t="s">
        <v>209</v>
      </c>
      <c r="F17" s="10" t="s">
        <v>261</v>
      </c>
      <c r="G17" s="10" t="s">
        <v>262</v>
      </c>
      <c r="H17" s="6" t="s">
        <v>182</v>
      </c>
      <c r="I17" s="6" t="s">
        <v>151</v>
      </c>
      <c r="J17" s="6" t="s">
        <v>263</v>
      </c>
      <c r="K17" s="6" t="s">
        <v>264</v>
      </c>
      <c r="L17" s="6" t="s">
        <v>265</v>
      </c>
      <c r="M17" s="6" t="s">
        <v>266</v>
      </c>
      <c r="N17" s="6" t="s">
        <v>186</v>
      </c>
      <c r="O17" s="6" t="s">
        <v>157</v>
      </c>
      <c r="P17" s="6" t="s">
        <v>267</v>
      </c>
      <c r="Q17" s="6" t="s">
        <v>268</v>
      </c>
      <c r="R17" s="6"/>
      <c r="S17" s="6"/>
      <c r="T17" s="6" t="s">
        <v>160</v>
      </c>
      <c r="U17" s="10"/>
      <c r="V17" s="30"/>
      <c r="W17" s="30"/>
      <c r="X17" s="30"/>
      <c r="Y17" s="30"/>
      <c r="Z17" s="30"/>
      <c r="AA17" s="30"/>
    </row>
    <row r="18" ht="19.5" customHeight="1">
      <c r="A18" s="10">
        <v>17.0</v>
      </c>
      <c r="B18" s="6" t="s">
        <v>176</v>
      </c>
      <c r="C18" s="6" t="s">
        <v>177</v>
      </c>
      <c r="D18" s="6"/>
      <c r="E18" s="6"/>
      <c r="F18" s="10"/>
      <c r="G18" s="6"/>
      <c r="H18" s="6" t="s">
        <v>182</v>
      </c>
      <c r="I18" s="6" t="s">
        <v>269</v>
      </c>
      <c r="J18" s="6" t="s">
        <v>270</v>
      </c>
      <c r="K18" s="6"/>
      <c r="L18" s="6" t="s">
        <v>185</v>
      </c>
      <c r="M18" s="6" t="s">
        <v>155</v>
      </c>
      <c r="N18" s="6" t="s">
        <v>186</v>
      </c>
      <c r="O18" s="6" t="s">
        <v>157</v>
      </c>
      <c r="P18" s="6" t="s">
        <v>195</v>
      </c>
      <c r="Q18" s="6" t="s">
        <v>174</v>
      </c>
      <c r="R18" s="6" t="s">
        <v>188</v>
      </c>
      <c r="S18" s="6" t="s">
        <v>75</v>
      </c>
      <c r="T18" s="6" t="s">
        <v>160</v>
      </c>
      <c r="U18" s="6"/>
      <c r="V18" s="30"/>
      <c r="W18" s="30"/>
      <c r="X18" s="30"/>
      <c r="Y18" s="30"/>
      <c r="Z18" s="30"/>
      <c r="AA18" s="30"/>
    </row>
    <row r="19" ht="19.5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ht="19.5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9.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9.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9.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9.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9.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9.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9.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9.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9.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9.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9.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9.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9.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9.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9.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9.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9.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9.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9.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9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9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9.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9.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9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9.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9.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9.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9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9.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9.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9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9.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9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9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9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9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9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9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9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9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9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9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9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9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9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9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9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9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9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9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9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9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9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9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9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9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9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9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9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9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9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9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9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9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9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9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9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9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9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9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9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9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9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9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9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9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9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9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9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9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9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9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9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9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9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9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9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9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9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9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9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9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9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9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9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9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9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9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9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9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9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9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9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9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9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9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9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9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9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9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9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9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9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9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9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9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9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9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9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9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9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9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9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9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9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9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9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9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9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9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9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9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9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9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9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9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9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9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9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9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9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9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9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9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9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9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9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9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9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9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9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9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9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9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9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9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9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9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9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9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9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9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9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9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9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9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9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9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9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9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9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9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9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9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9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9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9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9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9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9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9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9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9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9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9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9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9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9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9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9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9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9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9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9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9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9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9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9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9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9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9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9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9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9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9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9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9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9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9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9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9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9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9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9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9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9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9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9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9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9.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9.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9.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9.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9.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9.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9.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9.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9.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9.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9.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9.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9.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9.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9.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9.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9.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9.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9.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9.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9.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9.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9.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9.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9.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9.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9.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9.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9.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9.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9.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9.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9.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9.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9.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9.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9.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9.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9.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9.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9.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9.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9.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9.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9.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9.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9.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9.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9.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9.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9.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9.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9.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9.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9.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9.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9.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9.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9.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9.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9.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9.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9.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9.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9.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9.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9.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9.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9.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9.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9.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9.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9.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9.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9.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9.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9.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9.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9.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9.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9.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9.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9.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9.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9.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9.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9.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9.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9.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9.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9.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9.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9.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9.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9.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9.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9.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9.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9.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9.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9.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9.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9.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9.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9.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9.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9.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9.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9.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9.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9.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9.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9.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9.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9.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9.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9.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9.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9.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9.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9.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9.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9.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9.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9.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9.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9.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9.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9.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9.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9.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9.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9.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9.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9.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9.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9.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9.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9.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9.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9.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9.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9.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9.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9.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9.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9.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9.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9.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9.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9.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9.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9.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9.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9.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9.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9.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9.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9.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9.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9.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9.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9.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9.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9.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9.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9.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9.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9.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9.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9.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9.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9.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9.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9.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9.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9.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9.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9.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9.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9.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9.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9.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9.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9.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9.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9.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9.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9.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9.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9.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9.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9.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9.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9.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9.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9.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9.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9.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9.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9.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9.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9.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9.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9.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9.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9.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9.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9.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9.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9.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9.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9.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9.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9.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9.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9.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9.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9.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9.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9.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9.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9.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9.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9.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9.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9.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9.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9.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9.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9.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9.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9.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9.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9.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9.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9.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9.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9.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9.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9.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9.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9.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9.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9.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9.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9.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9.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9.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9.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9.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9.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9.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9.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9.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9.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9.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9.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9.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9.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9.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9.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9.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19.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19.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19.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19.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19.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19.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19.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19.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19.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19.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19.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19.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19.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19.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19.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19.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19.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19.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19.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19.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19.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19.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19.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19.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19.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19.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19.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19.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19.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19.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19.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19.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19.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19.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19.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19.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19.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19.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19.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19.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19.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19.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19.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19.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19.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19.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19.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19.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19.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19.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19.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19.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19.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19.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19.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19.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19.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19.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19.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19.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19.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19.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19.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19.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19.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19.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19.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19.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19.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19.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19.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19.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19.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19.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19.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19.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19.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19.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19.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19.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19.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19.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19.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19.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19.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19.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19.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19.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19.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19.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19.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19.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19.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19.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19.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19.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19.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19.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19.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19.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19.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19.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19.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19.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19.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19.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19.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19.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19.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19.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19.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19.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19.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19.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19.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19.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19.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19.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19.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19.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19.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19.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19.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19.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19.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19.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19.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19.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19.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19.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19.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19.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19.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19.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19.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19.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19.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19.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19.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19.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19.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19.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19.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19.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19.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19.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19.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19.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19.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19.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19.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19.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19.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19.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19.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19.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19.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19.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19.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19.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19.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19.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19.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19.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19.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19.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19.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19.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19.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19.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19.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19.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19.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19.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19.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19.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19.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19.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19.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19.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19.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19.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19.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19.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19.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19.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19.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19.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19.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19.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19.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19.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19.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19.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19.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19.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19.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19.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19.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19.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19.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19.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19.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19.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19.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19.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19.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19.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19.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19.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19.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19.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19.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19.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19.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19.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19.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19.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19.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19.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19.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19.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19.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19.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19.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19.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19.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19.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19.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19.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19.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19.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19.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19.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19.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19.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19.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19.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19.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19.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19.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19.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19.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19.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19.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19.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19.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19.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19.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19.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19.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19.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19.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19.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19.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19.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19.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19.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19.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19.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19.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19.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19.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19.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19.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19.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19.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19.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19.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19.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19.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19.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19.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19.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19.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19.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19.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19.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19.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19.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19.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19.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19.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19.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19.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19.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19.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19.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19.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19.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19.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19.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19.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19.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19.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19.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19.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19.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19.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19.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19.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19.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19.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19.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19.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19.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19.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19.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19.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19.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19.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19.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19.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19.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19.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19.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19.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19.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19.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19.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19.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19.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19.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19.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19.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19.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19.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19.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19.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19.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19.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19.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19.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19.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19.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19.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19.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19.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19.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19.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19.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19.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19.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19.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19.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19.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19.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19.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19.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19.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19.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19.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19.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19.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19.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19.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19.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19.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19.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19.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19.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19.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19.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19.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19.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19.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19.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19.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19.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19.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19.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19.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19.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19.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19.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19.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19.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19.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19.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19.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19.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19.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19.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19.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19.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19.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19.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19.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19.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19.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19.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19.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19.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19.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19.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19.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19.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19.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19.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19.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19.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19.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19.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19.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19.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19.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19.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19.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19.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19.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19.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19.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19.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19.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19.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19.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19.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19.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19.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19.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19.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19.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19.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19.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19.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19.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19.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19.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19.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19.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19.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19.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19.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19.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19.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19.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19.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19.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19.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19.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19.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19.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19.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19.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19.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19.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19.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19.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19.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19.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19.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19.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19.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19.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19.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19.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19.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19.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19.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19.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19.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19.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19.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19.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19.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19.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19.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19.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19.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19.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</sheetData>
  <autoFilter ref="$A$1:$T$18"/>
  <hyperlinks>
    <hyperlink r:id="rId1" ref="E5"/>
    <hyperlink r:id="rId2" ref="E8"/>
    <hyperlink r:id="rId3" ref="E10"/>
    <hyperlink r:id="rId4" ref="E14"/>
    <hyperlink r:id="rId5" ref="E15"/>
    <hyperlink r:id="rId6" ref="E17"/>
  </hyperlinks>
  <printOptions horizontalCentered="1"/>
  <pageMargins bottom="0.7" footer="0.0" header="0.0" left="0.3937007874015748" right="0.35433070866141736" top="0.5511811023622047"/>
  <pageSetup fitToHeight="0" paperSize="9" orientation="portrait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 fitToPage="1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14"/>
    <col customWidth="1" min="2" max="3" width="40.71"/>
    <col customWidth="1" min="4" max="4" width="32.29"/>
    <col customWidth="1" min="5" max="5" width="38.43"/>
    <col customWidth="1" min="6" max="6" width="21.0"/>
    <col customWidth="1" min="7" max="26" width="8.86"/>
  </cols>
  <sheetData>
    <row r="1" ht="19.5" customHeight="1">
      <c r="A1" s="5" t="s">
        <v>132</v>
      </c>
      <c r="B1" s="5" t="s">
        <v>120</v>
      </c>
      <c r="C1" s="5" t="s">
        <v>3</v>
      </c>
      <c r="D1" s="5" t="s">
        <v>271</v>
      </c>
      <c r="E1" s="5" t="s">
        <v>272</v>
      </c>
      <c r="F1" s="5" t="s">
        <v>5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9.5" customHeight="1">
      <c r="A2" s="6">
        <v>1.0</v>
      </c>
      <c r="B2" s="6" t="s">
        <v>273</v>
      </c>
      <c r="C2" s="6" t="s">
        <v>274</v>
      </c>
      <c r="D2" s="6" t="s">
        <v>275</v>
      </c>
      <c r="E2" s="6" t="s">
        <v>29</v>
      </c>
      <c r="F2" s="36" t="s">
        <v>276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9.5" customHeight="1">
      <c r="A3" s="6">
        <v>2.0</v>
      </c>
      <c r="B3" s="6" t="s">
        <v>273</v>
      </c>
      <c r="C3" s="6" t="s">
        <v>277</v>
      </c>
      <c r="D3" s="6" t="s">
        <v>275</v>
      </c>
      <c r="E3" s="16" t="s">
        <v>278</v>
      </c>
      <c r="F3" s="16" t="s">
        <v>276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9.5" customHeight="1">
      <c r="A4" s="6">
        <v>3.0</v>
      </c>
      <c r="B4" s="6" t="s">
        <v>279</v>
      </c>
      <c r="C4" s="6" t="s">
        <v>280</v>
      </c>
      <c r="D4" s="6" t="s">
        <v>279</v>
      </c>
      <c r="E4" s="6" t="s">
        <v>281</v>
      </c>
      <c r="F4" s="6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9.5" customHeight="1">
      <c r="A5" s="6">
        <v>4.0</v>
      </c>
      <c r="B5" s="6" t="s">
        <v>282</v>
      </c>
      <c r="C5" s="6" t="s">
        <v>283</v>
      </c>
      <c r="D5" s="6" t="s">
        <v>282</v>
      </c>
      <c r="E5" s="6" t="s">
        <v>284</v>
      </c>
      <c r="F5" s="6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9.5" customHeight="1">
      <c r="A6" s="6">
        <v>5.0</v>
      </c>
      <c r="B6" s="6" t="s">
        <v>285</v>
      </c>
      <c r="C6" s="6" t="s">
        <v>286</v>
      </c>
      <c r="D6" s="6" t="s">
        <v>285</v>
      </c>
      <c r="E6" s="16" t="s">
        <v>287</v>
      </c>
      <c r="F6" s="6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9.5" customHeight="1">
      <c r="A7" s="6">
        <v>6.0</v>
      </c>
      <c r="B7" s="6" t="s">
        <v>288</v>
      </c>
      <c r="C7" s="6"/>
      <c r="D7" s="6"/>
      <c r="E7" s="6" t="s">
        <v>289</v>
      </c>
      <c r="F7" s="6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9.5" customHeight="1">
      <c r="A8" s="6">
        <v>7.0</v>
      </c>
      <c r="B8" s="6" t="s">
        <v>290</v>
      </c>
      <c r="C8" s="6"/>
      <c r="D8" s="6"/>
      <c r="E8" s="6" t="s">
        <v>291</v>
      </c>
      <c r="F8" s="6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9.5" customHeight="1">
      <c r="A9" s="6">
        <v>8.0</v>
      </c>
      <c r="B9" s="6" t="s">
        <v>292</v>
      </c>
      <c r="C9" s="6" t="s">
        <v>293</v>
      </c>
      <c r="D9" s="6" t="s">
        <v>282</v>
      </c>
      <c r="E9" s="6" t="s">
        <v>294</v>
      </c>
      <c r="F9" s="6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9.5" customHeight="1">
      <c r="A10" s="6">
        <v>9.0</v>
      </c>
      <c r="B10" s="6" t="s">
        <v>295</v>
      </c>
      <c r="C10" s="6" t="s">
        <v>296</v>
      </c>
      <c r="D10" s="6" t="s">
        <v>255</v>
      </c>
      <c r="E10" s="6" t="s">
        <v>297</v>
      </c>
      <c r="F10" s="6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9.5" customHeight="1">
      <c r="A11" s="6">
        <v>10.0</v>
      </c>
      <c r="B11" s="6" t="s">
        <v>298</v>
      </c>
      <c r="C11" s="6"/>
      <c r="D11" s="6"/>
      <c r="E11" s="6" t="s">
        <v>299</v>
      </c>
      <c r="F11" s="6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9.5" customHeight="1">
      <c r="A12" s="6">
        <v>11.0</v>
      </c>
      <c r="B12" s="6" t="s">
        <v>300</v>
      </c>
      <c r="C12" s="6"/>
      <c r="D12" s="6"/>
      <c r="E12" s="6" t="s">
        <v>301</v>
      </c>
      <c r="F12" s="6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9.5" customHeight="1">
      <c r="A13" s="6">
        <v>12.0</v>
      </c>
      <c r="B13" s="6" t="s">
        <v>302</v>
      </c>
      <c r="C13" s="6" t="s">
        <v>303</v>
      </c>
      <c r="D13" s="6" t="s">
        <v>282</v>
      </c>
      <c r="E13" s="6" t="s">
        <v>304</v>
      </c>
      <c r="F13" s="6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6">
        <v>13.0</v>
      </c>
      <c r="B14" s="6" t="s">
        <v>305</v>
      </c>
      <c r="C14" s="6" t="s">
        <v>106</v>
      </c>
      <c r="D14" s="6" t="s">
        <v>306</v>
      </c>
      <c r="E14" s="6" t="s">
        <v>307</v>
      </c>
      <c r="F14" s="6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9.5" customHeight="1">
      <c r="A15" s="6">
        <v>14.0</v>
      </c>
      <c r="B15" s="6" t="s">
        <v>308</v>
      </c>
      <c r="C15" s="6" t="s">
        <v>309</v>
      </c>
      <c r="D15" s="6" t="s">
        <v>310</v>
      </c>
      <c r="E15" s="6" t="s">
        <v>311</v>
      </c>
      <c r="F15" s="6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6">
        <v>15.0</v>
      </c>
      <c r="B16" s="6" t="s">
        <v>312</v>
      </c>
      <c r="C16" s="6"/>
      <c r="D16" s="6"/>
      <c r="E16" s="6" t="s">
        <v>313</v>
      </c>
      <c r="F16" s="6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9.5" customHeight="1">
      <c r="A17" s="6">
        <v>16.0</v>
      </c>
      <c r="B17" s="6" t="s">
        <v>314</v>
      </c>
      <c r="C17" s="6" t="s">
        <v>315</v>
      </c>
      <c r="D17" s="6" t="s">
        <v>310</v>
      </c>
      <c r="E17" s="6" t="s">
        <v>316</v>
      </c>
      <c r="F17" s="6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6">
        <v>17.0</v>
      </c>
      <c r="B18" s="6" t="s">
        <v>317</v>
      </c>
      <c r="C18" s="6"/>
      <c r="D18" s="6"/>
      <c r="E18" s="6" t="s">
        <v>318</v>
      </c>
      <c r="F18" s="6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9.5" customHeight="1">
      <c r="A19" s="6">
        <v>18.0</v>
      </c>
      <c r="B19" s="6" t="s">
        <v>319</v>
      </c>
      <c r="C19" s="6" t="s">
        <v>320</v>
      </c>
      <c r="D19" s="6" t="s">
        <v>319</v>
      </c>
      <c r="E19" s="6" t="s">
        <v>321</v>
      </c>
      <c r="F19" s="6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9.5" customHeight="1">
      <c r="A20" s="6">
        <v>19.0</v>
      </c>
      <c r="B20" s="6" t="s">
        <v>322</v>
      </c>
      <c r="C20" s="6" t="s">
        <v>323</v>
      </c>
      <c r="D20" s="6" t="s">
        <v>282</v>
      </c>
      <c r="E20" s="6" t="s">
        <v>324</v>
      </c>
      <c r="F20" s="6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9.5" customHeight="1">
      <c r="A21" s="6">
        <v>20.0</v>
      </c>
      <c r="B21" s="6" t="s">
        <v>325</v>
      </c>
      <c r="C21" s="6" t="s">
        <v>130</v>
      </c>
      <c r="D21" s="6" t="s">
        <v>326</v>
      </c>
      <c r="E21" s="6" t="s">
        <v>327</v>
      </c>
      <c r="F21" s="6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9.5" customHeight="1">
      <c r="A22" s="6">
        <v>22.0</v>
      </c>
      <c r="B22" s="6" t="s">
        <v>328</v>
      </c>
      <c r="C22" s="6" t="s">
        <v>320</v>
      </c>
      <c r="D22" s="6" t="s">
        <v>319</v>
      </c>
      <c r="E22" s="6" t="s">
        <v>329</v>
      </c>
      <c r="F22" s="6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9.5" customHeight="1">
      <c r="A23" s="6">
        <v>26.0</v>
      </c>
      <c r="B23" s="6" t="s">
        <v>330</v>
      </c>
      <c r="C23" s="6" t="s">
        <v>124</v>
      </c>
      <c r="D23" s="6" t="s">
        <v>331</v>
      </c>
      <c r="E23" s="6" t="s">
        <v>332</v>
      </c>
      <c r="F23" s="16" t="s">
        <v>191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9.5" customHeight="1">
      <c r="A24" s="6">
        <v>21.0</v>
      </c>
      <c r="B24" s="6" t="s">
        <v>333</v>
      </c>
      <c r="C24" s="6" t="s">
        <v>334</v>
      </c>
      <c r="D24" s="6" t="s">
        <v>333</v>
      </c>
      <c r="E24" s="6" t="s">
        <v>335</v>
      </c>
      <c r="F24" s="6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9.5" customHeight="1">
      <c r="A25" s="6">
        <v>23.0</v>
      </c>
      <c r="B25" s="6" t="s">
        <v>331</v>
      </c>
      <c r="C25" s="6" t="s">
        <v>336</v>
      </c>
      <c r="D25" s="6" t="s">
        <v>331</v>
      </c>
      <c r="E25" s="6" t="s">
        <v>337</v>
      </c>
      <c r="F25" s="6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9.5" customHeight="1">
      <c r="A26" s="6">
        <v>24.0</v>
      </c>
      <c r="B26" s="6" t="s">
        <v>338</v>
      </c>
      <c r="C26" s="6" t="s">
        <v>339</v>
      </c>
      <c r="D26" s="6" t="s">
        <v>338</v>
      </c>
      <c r="E26" s="6" t="s">
        <v>36</v>
      </c>
      <c r="F26" s="16" t="s">
        <v>47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9.5" customHeight="1">
      <c r="A27" s="6">
        <v>25.0</v>
      </c>
      <c r="B27" s="6" t="s">
        <v>340</v>
      </c>
      <c r="C27" s="6" t="s">
        <v>163</v>
      </c>
      <c r="D27" s="6" t="s">
        <v>285</v>
      </c>
      <c r="E27" s="6" t="s">
        <v>341</v>
      </c>
      <c r="F27" s="6" t="s">
        <v>342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9.5" customHeight="1">
      <c r="A28" s="6">
        <v>27.0</v>
      </c>
      <c r="B28" s="6" t="s">
        <v>343</v>
      </c>
      <c r="C28" s="6" t="s">
        <v>344</v>
      </c>
      <c r="D28" s="6" t="s">
        <v>282</v>
      </c>
      <c r="E28" s="6" t="s">
        <v>345</v>
      </c>
      <c r="F28" s="16" t="s">
        <v>346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9.5" customHeight="1">
      <c r="A29" s="6">
        <v>28.0</v>
      </c>
      <c r="B29" s="6" t="s">
        <v>326</v>
      </c>
      <c r="C29" s="6" t="s">
        <v>130</v>
      </c>
      <c r="D29" s="6" t="s">
        <v>326</v>
      </c>
      <c r="E29" s="6" t="s">
        <v>347</v>
      </c>
      <c r="F29" s="6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9.5" customHeight="1">
      <c r="A30" s="6">
        <v>29.0</v>
      </c>
      <c r="B30" s="6" t="s">
        <v>348</v>
      </c>
      <c r="C30" s="6" t="s">
        <v>225</v>
      </c>
      <c r="D30" s="6" t="s">
        <v>349</v>
      </c>
      <c r="E30" s="6" t="s">
        <v>350</v>
      </c>
      <c r="F30" s="6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6">
        <v>30.0</v>
      </c>
      <c r="B31" s="6" t="s">
        <v>351</v>
      </c>
      <c r="C31" s="6"/>
      <c r="D31" s="6" t="s">
        <v>352</v>
      </c>
      <c r="E31" s="16" t="s">
        <v>353</v>
      </c>
      <c r="F31" s="6" t="s">
        <v>354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9.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9.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9.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9.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9.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9.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9.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9.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9.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9.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9.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9.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9.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9.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9.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9.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9.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9.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9.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9.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9.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9.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9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9.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9.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9.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9.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9.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9.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9.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9.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9.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9.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9.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9.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9.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9.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9.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9.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9.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9.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9.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9.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9.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9.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9.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9.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9.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9.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9.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9.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9.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9.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9.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9.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9.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9.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9.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9.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9.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9.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9.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9.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9.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9.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9.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9.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9.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9.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9.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9.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9.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9.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9.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9.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9.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9.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9.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9.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9.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9.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9.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9.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9.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9.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9.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9.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9.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9.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9.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9.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9.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9.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9.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9.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9.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9.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9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9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9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9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9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9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9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9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9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9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9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9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9.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9.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9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9.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9.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9.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9.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9.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9.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9.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9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9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9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9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9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9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9.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9.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9.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9.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9.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9.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9.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9.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9.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9.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9.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9.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9.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9.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9.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9.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9.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9.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9.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9.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9.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9.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9.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9.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9.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9.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9.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9.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9.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9.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9.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9.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9.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9.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9.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9.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9.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9.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9.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9.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9.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9.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9.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9.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9.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9.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9.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9.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9.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9.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9.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9.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9.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9.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9.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9.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9.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9.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9.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9.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9.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9.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9.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9.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9.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9.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9.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9.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9.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9.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9.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9.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9.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9.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9.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9.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9.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9.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9.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9.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9.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9.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9.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9.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9.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9.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9.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9.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9.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9.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9.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9.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9.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9.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9.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9.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9.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9.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9.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9.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9.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9.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9.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9.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9.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9.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9.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9.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9.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9.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9.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9.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9.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9.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9.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9.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9.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9.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9.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9.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9.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9.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9.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9.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9.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9.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9.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9.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9.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9.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9.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9.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9.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9.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9.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9.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9.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9.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9.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9.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9.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9.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9.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9.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9.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9.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9.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9.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9.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9.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9.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9.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9.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9.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9.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9.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9.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9.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9.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9.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9.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9.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9.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9.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9.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9.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9.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9.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9.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9.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9.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9.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9.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9.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9.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9.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9.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9.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9.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9.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9.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9.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9.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9.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9.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9.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9.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9.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9.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9.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9.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9.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9.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9.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9.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9.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9.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9.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9.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9.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9.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9.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9.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9.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9.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9.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9.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9.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9.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9.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9.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9.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9.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9.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9.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9.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9.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9.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9.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9.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9.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9.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9.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9.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9.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9.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9.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9.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9.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9.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9.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9.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9.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9.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9.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9.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9.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9.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9.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9.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9.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9.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9.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9.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9.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9.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9.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9.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9.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9.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9.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9.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9.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9.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9.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9.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9.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9.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9.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9.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9.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9.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9.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9.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9.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9.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9.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9.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9.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9.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9.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9.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9.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9.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9.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9.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9.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9.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9.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9.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9.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9.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9.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9.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9.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9.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9.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9.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9.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9.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9.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9.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9.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9.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9.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9.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9.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9.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9.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9.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9.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9.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9.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9.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9.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9.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9.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9.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9.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9.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9.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9.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9.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9.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9.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9.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9.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9.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9.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9.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9.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9.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9.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9.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9.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9.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9.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9.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9.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9.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9.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9.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9.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9.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9.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9.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9.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9.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9.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9.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9.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9.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9.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9.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9.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9.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9.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9.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9.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9.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9.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9.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9.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9.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9.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9.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9.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9.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9.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9.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9.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9.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9.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9.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9.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9.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9.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9.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9.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9.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9.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9.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9.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9.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9.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9.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9.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9.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9.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9.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9.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9.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9.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9.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9.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9.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9.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9.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9.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9.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9.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9.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9.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9.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9.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9.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9.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9.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9.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9.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9.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9.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9.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9.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9.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9.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9.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9.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9.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9.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9.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9.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9.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9.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9.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9.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9.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9.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9.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9.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9.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9.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9.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9.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9.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9.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9.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9.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9.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9.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9.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9.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9.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9.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9.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9.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9.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9.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9.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9.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9.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9.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9.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9.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9.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9.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9.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9.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9.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9.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9.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9.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9.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9.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9.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9.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9.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9.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9.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9.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9.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9.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9.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9.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9.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9.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9.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9.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9.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9.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9.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9.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9.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9.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9.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9.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9.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9.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9.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9.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9.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9.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9.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9.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9.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9.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9.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9.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9.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9.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9.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9.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9.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9.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9.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9.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9.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9.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9.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9.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9.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9.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9.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9.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9.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9.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9.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9.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9.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9.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9.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9.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9.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9.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9.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9.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9.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9.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9.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9.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9.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9.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9.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9.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9.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9.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9.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9.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9.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9.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9.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9.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9.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9.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9.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9.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9.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9.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9.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9.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9.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9.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9.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9.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9.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9.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9.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9.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9.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9.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9.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9.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9.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9.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9.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9.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9.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9.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9.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9.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9.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9.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9.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9.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9.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9.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9.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9.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9.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9.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9.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9.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9.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9.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9.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9.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9.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9.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9.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9.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9.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9.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9.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9.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9.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9.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9.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9.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9.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9.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9.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9.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9.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9.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9.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9.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9.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9.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9.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9.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9.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9.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9.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9.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9.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9.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9.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9.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9.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9.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9.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9.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9.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9.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9.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9.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9.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9.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9.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9.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9.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9.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9.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9.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9.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9.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9.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9.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9.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9.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9.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9.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9.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9.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9.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9.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9.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9.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9.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9.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9.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9.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9.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9.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9.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9.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9.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9.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9.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9.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9.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9.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9.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9.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9.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9.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9.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9.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9.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9.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9.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9.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9.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9.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9.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9.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9.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9.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9.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9.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9.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9.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9.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9.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9.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9.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9.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9.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9.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9.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9.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9.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9.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9.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9.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9.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9.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9.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9.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9.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9.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9.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9.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9.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9.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9.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9.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9.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9.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9.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9.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9.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9.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9.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9.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9.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9.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9.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9.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9.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9.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9.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9.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9.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9.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9.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9.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9.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9.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9.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9.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9.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9.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9.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9.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9.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9.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9.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9.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9.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9.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9.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9.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9.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9.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9.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9.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9.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9.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9.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9.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9.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9.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9.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9.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9.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9.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9.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9.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9.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9.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9.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9.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9.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9.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9.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9.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9.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9.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9.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9.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9.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9.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9.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9.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9.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9.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9.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9.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9.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9.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9.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9.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9.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9.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9.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9.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9.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9.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9.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9.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9.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9.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9.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9.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9.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9.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9.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9.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9.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9.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9.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9.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9.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9.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9.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9.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9.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9.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9.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9.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9.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9.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9.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9.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9.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9.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9.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9.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9.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9.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9.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9.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9.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9.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9.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9.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9.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9.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9.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9.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9.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9.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9.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9.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9.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9.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9.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9.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F$6"/>
  <hyperlinks>
    <hyperlink r:id="rId1" ref="F2"/>
    <hyperlink r:id="rId2" ref="E3"/>
    <hyperlink r:id="rId3" ref="F3"/>
    <hyperlink r:id="rId4" ref="E6"/>
    <hyperlink r:id="rId5" ref="F23"/>
    <hyperlink r:id="rId6" ref="F26"/>
    <hyperlink r:id="rId7" ref="F28"/>
    <hyperlink r:id="rId8" ref="E31"/>
  </hyperlinks>
  <printOptions horizontalCentered="1"/>
  <pageMargins bottom="0.7" footer="0.0" header="0.0" left="0.3937007874015748" right="0.35433070866141736" top="0.5511811023622047"/>
  <pageSetup fitToHeight="0" paperSize="9" orientation="portrait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43"/>
    <col customWidth="1" min="2" max="2" width="28.43"/>
    <col customWidth="1" min="3" max="3" width="30.29"/>
    <col customWidth="1" min="4" max="26" width="8.71"/>
  </cols>
  <sheetData>
    <row r="1" ht="19.5" customHeight="1">
      <c r="A1" s="37" t="s">
        <v>355</v>
      </c>
      <c r="B1" s="2"/>
      <c r="C1" s="3"/>
    </row>
    <row r="3" ht="19.5" customHeight="1">
      <c r="A3" s="5" t="s">
        <v>356</v>
      </c>
      <c r="B3" s="5" t="s">
        <v>15</v>
      </c>
      <c r="C3" s="5" t="s">
        <v>272</v>
      </c>
    </row>
    <row r="4" ht="19.5" customHeight="1">
      <c r="A4" s="6" t="s">
        <v>280</v>
      </c>
      <c r="B4" s="6" t="s">
        <v>357</v>
      </c>
      <c r="C4" s="6" t="s">
        <v>358</v>
      </c>
    </row>
    <row r="5" ht="19.5" customHeight="1">
      <c r="A5" s="6" t="s">
        <v>359</v>
      </c>
      <c r="B5" s="6" t="s">
        <v>229</v>
      </c>
      <c r="C5" s="6"/>
    </row>
    <row r="6" ht="19.5" customHeight="1">
      <c r="A6" s="6" t="s">
        <v>106</v>
      </c>
      <c r="B6" s="6" t="s">
        <v>360</v>
      </c>
      <c r="C6" s="6" t="s">
        <v>361</v>
      </c>
    </row>
    <row r="7" ht="19.5" customHeight="1">
      <c r="A7" s="6" t="s">
        <v>320</v>
      </c>
      <c r="B7" s="6" t="s">
        <v>247</v>
      </c>
      <c r="C7" s="6" t="s">
        <v>362</v>
      </c>
    </row>
    <row r="8" ht="19.5" customHeight="1">
      <c r="A8" s="6" t="s">
        <v>124</v>
      </c>
      <c r="B8" s="6" t="s">
        <v>363</v>
      </c>
      <c r="C8" s="6" t="s">
        <v>48</v>
      </c>
    </row>
    <row r="9" ht="19.5" customHeight="1">
      <c r="A9" s="6" t="s">
        <v>364</v>
      </c>
      <c r="B9" s="6" t="s">
        <v>365</v>
      </c>
      <c r="C9" s="6" t="s">
        <v>366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21.0"/>
    <col customWidth="1" min="3" max="3" width="20.57"/>
    <col customWidth="1" min="4" max="4" width="16.71"/>
    <col customWidth="1" min="5" max="26" width="8.71"/>
  </cols>
  <sheetData>
    <row r="1" ht="19.5" customHeight="1">
      <c r="A1" s="1" t="s">
        <v>367</v>
      </c>
      <c r="B1" s="2"/>
      <c r="C1" s="2"/>
      <c r="D1" s="3"/>
    </row>
    <row r="3" ht="19.5" customHeight="1">
      <c r="A3" s="5" t="s">
        <v>24</v>
      </c>
      <c r="B3" s="5" t="s">
        <v>26</v>
      </c>
      <c r="C3" s="5" t="s">
        <v>368</v>
      </c>
      <c r="D3" s="5" t="s">
        <v>5</v>
      </c>
    </row>
    <row r="4" ht="19.5" customHeight="1">
      <c r="A4" s="6" t="s">
        <v>369</v>
      </c>
      <c r="B4" s="16" t="s">
        <v>370</v>
      </c>
      <c r="C4" s="38" t="s">
        <v>371</v>
      </c>
      <c r="D4" s="16">
        <v>239510.0</v>
      </c>
    </row>
    <row r="5" ht="19.5" customHeight="1">
      <c r="A5" s="6" t="s">
        <v>372</v>
      </c>
      <c r="B5" s="6" t="s">
        <v>373</v>
      </c>
      <c r="C5" s="16" t="s">
        <v>29</v>
      </c>
      <c r="D5" s="16" t="s">
        <v>374</v>
      </c>
    </row>
    <row r="6" ht="19.5" customHeight="1">
      <c r="A6" s="6" t="s">
        <v>375</v>
      </c>
      <c r="B6" s="6"/>
      <c r="C6" s="16" t="s">
        <v>29</v>
      </c>
      <c r="D6" s="39" t="s">
        <v>376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hyperlinks>
    <hyperlink r:id="rId1" ref="B4"/>
    <hyperlink r:id="rId2" ref="C4"/>
    <hyperlink r:id="rId3" ref="D4"/>
    <hyperlink r:id="rId4" ref="C5"/>
    <hyperlink r:id="rId5" ref="D5"/>
    <hyperlink r:id="rId6" ref="C6"/>
  </hyperlinks>
  <printOptions/>
  <pageMargins bottom="0.787401575" footer="0.0" header="0.0" left="0.511811024" right="0.511811024" top="0.787401575"/>
  <pageSetup orientation="landscape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8.71"/>
    <col customWidth="1" hidden="1" min="3" max="3" width="8.71"/>
    <col customWidth="1" min="4" max="4" width="10.71"/>
    <col customWidth="1" min="5" max="26" width="8.71"/>
  </cols>
  <sheetData>
    <row r="2">
      <c r="A2" s="40" t="s">
        <v>377</v>
      </c>
      <c r="B2" s="41" t="s">
        <v>378</v>
      </c>
      <c r="D2" s="40" t="s">
        <v>379</v>
      </c>
      <c r="E2" s="41" t="s">
        <v>380</v>
      </c>
    </row>
    <row r="3">
      <c r="A3" s="40" t="s">
        <v>106</v>
      </c>
      <c r="B3" s="40">
        <v>3.0</v>
      </c>
      <c r="C3" s="40">
        <v>2.0</v>
      </c>
      <c r="D3" s="40">
        <v>3.0</v>
      </c>
      <c r="E3" s="40">
        <f t="shared" ref="E3:E16" si="1">B3*C3</f>
        <v>6</v>
      </c>
    </row>
    <row r="4">
      <c r="A4" s="40" t="s">
        <v>256</v>
      </c>
      <c r="B4" s="40">
        <v>2.0</v>
      </c>
      <c r="C4" s="40">
        <v>2.0</v>
      </c>
      <c r="D4" s="40">
        <v>2.0</v>
      </c>
      <c r="E4" s="40">
        <f t="shared" si="1"/>
        <v>4</v>
      </c>
    </row>
    <row r="5">
      <c r="A5" s="40" t="s">
        <v>381</v>
      </c>
      <c r="B5" s="40">
        <v>2.0</v>
      </c>
      <c r="C5" s="40">
        <v>2.0</v>
      </c>
      <c r="D5" s="40">
        <v>2.0</v>
      </c>
      <c r="E5" s="40">
        <f t="shared" si="1"/>
        <v>4</v>
      </c>
    </row>
    <row r="6">
      <c r="A6" s="40" t="s">
        <v>239</v>
      </c>
      <c r="B6" s="40">
        <v>3.0</v>
      </c>
      <c r="C6" s="40">
        <v>2.0</v>
      </c>
      <c r="D6" s="40">
        <v>3.0</v>
      </c>
      <c r="E6" s="40">
        <f t="shared" si="1"/>
        <v>6</v>
      </c>
    </row>
    <row r="7">
      <c r="A7" s="40" t="s">
        <v>130</v>
      </c>
      <c r="B7" s="40">
        <v>3.0</v>
      </c>
      <c r="C7" s="40">
        <v>2.0</v>
      </c>
      <c r="D7" s="40">
        <v>3.0</v>
      </c>
      <c r="E7" s="40">
        <f t="shared" si="1"/>
        <v>6</v>
      </c>
    </row>
    <row r="8">
      <c r="A8" s="40" t="s">
        <v>198</v>
      </c>
      <c r="B8" s="40">
        <v>2.0</v>
      </c>
      <c r="C8" s="40">
        <v>2.0</v>
      </c>
      <c r="D8" s="40">
        <v>2.0</v>
      </c>
      <c r="E8" s="40">
        <f t="shared" si="1"/>
        <v>4</v>
      </c>
    </row>
    <row r="9">
      <c r="A9" s="40" t="s">
        <v>382</v>
      </c>
      <c r="B9" s="40">
        <v>2.0</v>
      </c>
      <c r="C9" s="40">
        <v>2.0</v>
      </c>
      <c r="D9" s="40">
        <v>2.0</v>
      </c>
      <c r="E9" s="40">
        <f t="shared" si="1"/>
        <v>4</v>
      </c>
    </row>
    <row r="10">
      <c r="A10" s="40" t="s">
        <v>383</v>
      </c>
      <c r="B10" s="40">
        <v>1.0</v>
      </c>
      <c r="C10" s="40">
        <v>2.0</v>
      </c>
      <c r="D10" s="40">
        <v>1.0</v>
      </c>
      <c r="E10" s="40">
        <f t="shared" si="1"/>
        <v>2</v>
      </c>
    </row>
    <row r="11">
      <c r="A11" s="40" t="s">
        <v>97</v>
      </c>
      <c r="B11" s="40">
        <v>4.0</v>
      </c>
      <c r="C11" s="40">
        <v>2.0</v>
      </c>
      <c r="D11" s="40">
        <v>4.0</v>
      </c>
      <c r="E11" s="40">
        <f t="shared" si="1"/>
        <v>8</v>
      </c>
    </row>
    <row r="12">
      <c r="A12" s="40" t="s">
        <v>384</v>
      </c>
      <c r="B12" s="40">
        <v>1.0</v>
      </c>
      <c r="C12" s="40">
        <v>2.0</v>
      </c>
      <c r="D12" s="40">
        <v>1.0</v>
      </c>
      <c r="E12" s="40">
        <f t="shared" si="1"/>
        <v>2</v>
      </c>
    </row>
    <row r="13">
      <c r="A13" s="40" t="s">
        <v>385</v>
      </c>
      <c r="B13" s="40">
        <v>1.0</v>
      </c>
      <c r="C13" s="40">
        <v>2.0</v>
      </c>
      <c r="D13" s="40">
        <v>1.0</v>
      </c>
      <c r="E13" s="40">
        <f t="shared" si="1"/>
        <v>2</v>
      </c>
    </row>
    <row r="14">
      <c r="A14" s="40" t="s">
        <v>386</v>
      </c>
      <c r="B14" s="40">
        <v>1.0</v>
      </c>
      <c r="C14" s="40">
        <v>2.0</v>
      </c>
      <c r="D14" s="40">
        <v>1.0</v>
      </c>
      <c r="E14" s="40">
        <f t="shared" si="1"/>
        <v>2</v>
      </c>
    </row>
    <row r="15">
      <c r="A15" s="40" t="s">
        <v>387</v>
      </c>
      <c r="B15" s="40">
        <v>1.0</v>
      </c>
      <c r="C15" s="40">
        <v>2.0</v>
      </c>
      <c r="D15" s="40">
        <v>1.0</v>
      </c>
      <c r="E15" s="40">
        <f t="shared" si="1"/>
        <v>2</v>
      </c>
    </row>
    <row r="16">
      <c r="A16" s="40" t="s">
        <v>388</v>
      </c>
      <c r="B16" s="40">
        <v>6.0</v>
      </c>
      <c r="C16" s="40">
        <v>2.0</v>
      </c>
      <c r="D16" s="40">
        <v>6.0</v>
      </c>
      <c r="E16" s="40">
        <f t="shared" si="1"/>
        <v>12</v>
      </c>
    </row>
    <row r="17">
      <c r="B17" s="40">
        <f>SUM(B3:B16)</f>
        <v>32</v>
      </c>
      <c r="D17" s="40">
        <f t="shared" ref="D17:E17" si="2">SUM(D3:D16)</f>
        <v>32</v>
      </c>
      <c r="E17" s="40">
        <f t="shared" si="2"/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.29"/>
    <col customWidth="1" min="2" max="2" width="65.29"/>
    <col customWidth="1" min="3" max="3" width="10.0"/>
    <col customWidth="1" min="4" max="11" width="15.71"/>
    <col customWidth="1" min="12" max="12" width="1.29"/>
    <col customWidth="1" min="13" max="26" width="8.86"/>
  </cols>
  <sheetData>
    <row r="1" ht="9.75" customHeight="1">
      <c r="A1" s="42"/>
      <c r="B1" s="43"/>
      <c r="C1" s="44"/>
      <c r="D1" s="45"/>
      <c r="E1" s="45"/>
      <c r="F1" s="45"/>
      <c r="G1" s="45"/>
      <c r="H1" s="45"/>
      <c r="I1" s="45"/>
      <c r="J1" s="45"/>
      <c r="K1" s="45"/>
      <c r="L1" s="46"/>
    </row>
    <row r="2" ht="15.0" customHeight="1">
      <c r="A2" s="47"/>
      <c r="B2" s="48"/>
      <c r="C2" s="49" t="s">
        <v>389</v>
      </c>
      <c r="D2" s="50" t="s">
        <v>390</v>
      </c>
      <c r="F2" s="51" t="s">
        <v>391</v>
      </c>
      <c r="G2" s="52">
        <v>44865.0</v>
      </c>
      <c r="H2" s="53"/>
      <c r="I2" s="54"/>
      <c r="J2" s="54"/>
      <c r="K2" s="54"/>
      <c r="L2" s="55"/>
    </row>
    <row r="3" ht="5.25" customHeight="1">
      <c r="A3" s="47"/>
      <c r="B3" s="48"/>
      <c r="C3" s="47"/>
      <c r="F3" s="51"/>
      <c r="G3" s="41"/>
      <c r="H3" s="41"/>
      <c r="I3" s="41"/>
      <c r="J3" s="41"/>
      <c r="K3" s="41"/>
      <c r="L3" s="55"/>
    </row>
    <row r="4" ht="15.0" customHeight="1">
      <c r="A4" s="47"/>
      <c r="B4" s="48"/>
      <c r="C4" s="47"/>
      <c r="F4" s="51" t="s">
        <v>392</v>
      </c>
      <c r="G4" s="56" t="s">
        <v>393</v>
      </c>
      <c r="H4" s="53"/>
      <c r="I4" s="51"/>
      <c r="J4" s="51"/>
      <c r="K4" s="51"/>
      <c r="L4" s="55"/>
    </row>
    <row r="5" ht="7.5" customHeight="1">
      <c r="A5" s="57"/>
      <c r="B5" s="58"/>
      <c r="C5" s="59"/>
      <c r="D5" s="60"/>
      <c r="E5" s="60"/>
      <c r="F5" s="60"/>
      <c r="G5" s="60"/>
      <c r="H5" s="60"/>
      <c r="I5" s="60"/>
      <c r="J5" s="60"/>
      <c r="K5" s="60"/>
      <c r="L5" s="55"/>
    </row>
    <row r="6" ht="15.0" customHeight="1">
      <c r="A6" s="61" t="s">
        <v>394</v>
      </c>
      <c r="B6" s="43"/>
      <c r="C6" s="62" t="s">
        <v>395</v>
      </c>
      <c r="D6" s="63" t="s">
        <v>396</v>
      </c>
      <c r="E6" s="53"/>
      <c r="F6" s="63" t="s">
        <v>397</v>
      </c>
      <c r="G6" s="53"/>
      <c r="H6" s="63" t="s">
        <v>398</v>
      </c>
      <c r="I6" s="53"/>
      <c r="J6" s="63" t="s">
        <v>399</v>
      </c>
      <c r="K6" s="53"/>
      <c r="L6" s="55"/>
    </row>
    <row r="7" ht="15.0" customHeight="1">
      <c r="A7" s="57"/>
      <c r="B7" s="58"/>
      <c r="C7" s="64" t="s">
        <v>400</v>
      </c>
      <c r="D7" s="65" t="s">
        <v>401</v>
      </c>
      <c r="E7" s="53"/>
      <c r="F7" s="65" t="s">
        <v>402</v>
      </c>
      <c r="G7" s="53"/>
      <c r="H7" s="65" t="s">
        <v>403</v>
      </c>
      <c r="I7" s="53"/>
      <c r="J7" s="65" t="s">
        <v>404</v>
      </c>
      <c r="K7" s="53"/>
      <c r="L7" s="55"/>
    </row>
    <row r="8" ht="15.0" customHeight="1">
      <c r="A8" s="66" t="s">
        <v>405</v>
      </c>
      <c r="B8" s="48"/>
      <c r="C8" s="64" t="s">
        <v>406</v>
      </c>
      <c r="D8" s="67" t="s">
        <v>407</v>
      </c>
      <c r="E8" s="53"/>
      <c r="F8" s="68" t="s">
        <v>408</v>
      </c>
      <c r="G8" s="53"/>
      <c r="H8" s="68" t="s">
        <v>409</v>
      </c>
      <c r="I8" s="53"/>
      <c r="J8" s="68" t="s">
        <v>409</v>
      </c>
      <c r="K8" s="53"/>
      <c r="L8" s="55"/>
    </row>
    <row r="9" ht="15.0" customHeight="1">
      <c r="A9" s="69" t="s">
        <v>410</v>
      </c>
      <c r="B9" s="58"/>
      <c r="C9" s="70" t="s">
        <v>411</v>
      </c>
      <c r="D9" s="71" t="s">
        <v>412</v>
      </c>
      <c r="E9" s="53"/>
      <c r="F9" s="72" t="s">
        <v>413</v>
      </c>
      <c r="G9" s="53"/>
      <c r="H9" s="68" t="s">
        <v>414</v>
      </c>
      <c r="I9" s="53"/>
      <c r="J9" s="68" t="s">
        <v>414</v>
      </c>
      <c r="K9" s="53"/>
      <c r="L9" s="55"/>
    </row>
    <row r="10" ht="15.0" customHeight="1">
      <c r="A10" s="73" t="s">
        <v>132</v>
      </c>
      <c r="B10" s="74" t="s">
        <v>415</v>
      </c>
      <c r="C10" s="73" t="s">
        <v>416</v>
      </c>
      <c r="D10" s="73" t="s">
        <v>417</v>
      </c>
      <c r="E10" s="73" t="s">
        <v>418</v>
      </c>
      <c r="F10" s="73" t="s">
        <v>417</v>
      </c>
      <c r="G10" s="73" t="s">
        <v>418</v>
      </c>
      <c r="H10" s="73" t="s">
        <v>417</v>
      </c>
      <c r="I10" s="73" t="s">
        <v>418</v>
      </c>
      <c r="J10" s="73" t="s">
        <v>417</v>
      </c>
      <c r="K10" s="73" t="s">
        <v>418</v>
      </c>
      <c r="L10" s="55"/>
    </row>
    <row r="11" ht="15.0" customHeight="1">
      <c r="A11" s="75">
        <v>1.0</v>
      </c>
      <c r="B11" s="75" t="s">
        <v>419</v>
      </c>
      <c r="C11" s="76">
        <v>1.0</v>
      </c>
      <c r="D11" s="77">
        <v>259.9</v>
      </c>
      <c r="E11" s="78">
        <f t="shared" ref="E11:E16" si="1">D11*C11</f>
        <v>259.9</v>
      </c>
      <c r="F11" s="77">
        <v>651.29</v>
      </c>
      <c r="G11" s="78">
        <f t="shared" ref="G11:G16" si="2">F11*C11</f>
        <v>651.29</v>
      </c>
      <c r="H11" s="77">
        <v>300.0</v>
      </c>
      <c r="I11" s="78">
        <f t="shared" ref="I11:I16" si="3">H11*C11</f>
        <v>300</v>
      </c>
      <c r="J11" s="77">
        <v>256.58</v>
      </c>
      <c r="K11" s="78">
        <f t="shared" ref="K11:K16" si="4">J11*C11</f>
        <v>256.58</v>
      </c>
      <c r="L11" s="55"/>
    </row>
    <row r="12" ht="15.0" customHeight="1">
      <c r="A12" s="75">
        <v>2.0</v>
      </c>
      <c r="B12" s="75" t="s">
        <v>420</v>
      </c>
      <c r="C12" s="76">
        <v>2.0</v>
      </c>
      <c r="D12" s="77">
        <v>129.0</v>
      </c>
      <c r="E12" s="78">
        <f t="shared" si="1"/>
        <v>258</v>
      </c>
      <c r="F12" s="77">
        <v>103.33</v>
      </c>
      <c r="G12" s="78">
        <f t="shared" si="2"/>
        <v>206.66</v>
      </c>
      <c r="H12" s="77">
        <v>105.0</v>
      </c>
      <c r="I12" s="78">
        <f t="shared" si="3"/>
        <v>210</v>
      </c>
      <c r="J12" s="77">
        <v>142.29</v>
      </c>
      <c r="K12" s="78">
        <f t="shared" si="4"/>
        <v>284.58</v>
      </c>
      <c r="L12" s="55"/>
    </row>
    <row r="13" ht="15.0" customHeight="1">
      <c r="A13" s="75">
        <v>3.0</v>
      </c>
      <c r="B13" s="75" t="s">
        <v>421</v>
      </c>
      <c r="C13" s="76">
        <v>35.0</v>
      </c>
      <c r="D13" s="77">
        <v>5.5</v>
      </c>
      <c r="E13" s="78">
        <f t="shared" si="1"/>
        <v>192.5</v>
      </c>
      <c r="F13" s="77">
        <v>3.75</v>
      </c>
      <c r="G13" s="78">
        <f t="shared" si="2"/>
        <v>131.25</v>
      </c>
      <c r="H13" s="77">
        <v>7.5</v>
      </c>
      <c r="I13" s="78">
        <f t="shared" si="3"/>
        <v>262.5</v>
      </c>
      <c r="J13" s="77">
        <v>5.0</v>
      </c>
      <c r="K13" s="78">
        <f t="shared" si="4"/>
        <v>175</v>
      </c>
      <c r="L13" s="55"/>
    </row>
    <row r="14" ht="15.0" customHeight="1">
      <c r="A14" s="75">
        <v>4.0</v>
      </c>
      <c r="B14" s="75" t="s">
        <v>422</v>
      </c>
      <c r="C14" s="76">
        <v>35.0</v>
      </c>
      <c r="D14" s="77">
        <v>7.9</v>
      </c>
      <c r="E14" s="78">
        <f t="shared" si="1"/>
        <v>276.5</v>
      </c>
      <c r="F14" s="77">
        <v>0.0</v>
      </c>
      <c r="G14" s="78">
        <f t="shared" si="2"/>
        <v>0</v>
      </c>
      <c r="H14" s="77">
        <v>0.0</v>
      </c>
      <c r="I14" s="78">
        <f t="shared" si="3"/>
        <v>0</v>
      </c>
      <c r="J14" s="77">
        <v>7.9</v>
      </c>
      <c r="K14" s="78">
        <f t="shared" si="4"/>
        <v>276.5</v>
      </c>
      <c r="L14" s="55"/>
    </row>
    <row r="15" ht="15.0" customHeight="1">
      <c r="A15" s="75">
        <v>5.0</v>
      </c>
      <c r="B15" s="75" t="s">
        <v>423</v>
      </c>
      <c r="C15" s="76">
        <v>100.0</v>
      </c>
      <c r="D15" s="77">
        <v>0.8</v>
      </c>
      <c r="E15" s="78">
        <f t="shared" si="1"/>
        <v>80</v>
      </c>
      <c r="F15" s="77">
        <v>1.2368000000000001</v>
      </c>
      <c r="G15" s="78">
        <f t="shared" si="2"/>
        <v>123.68</v>
      </c>
      <c r="H15" s="77">
        <v>0.5</v>
      </c>
      <c r="I15" s="78">
        <f t="shared" si="3"/>
        <v>50</v>
      </c>
      <c r="J15" s="77">
        <v>0.21899999999999997</v>
      </c>
      <c r="K15" s="78">
        <f t="shared" si="4"/>
        <v>21.9</v>
      </c>
      <c r="L15" s="55"/>
    </row>
    <row r="16" ht="15.0" customHeight="1">
      <c r="A16" s="75">
        <v>6.0</v>
      </c>
      <c r="B16" s="75" t="s">
        <v>424</v>
      </c>
      <c r="C16" s="76">
        <v>1.0</v>
      </c>
      <c r="D16" s="77">
        <v>0.0</v>
      </c>
      <c r="E16" s="78">
        <f t="shared" si="1"/>
        <v>0</v>
      </c>
      <c r="F16" s="77">
        <v>0.0</v>
      </c>
      <c r="G16" s="78">
        <f t="shared" si="2"/>
        <v>0</v>
      </c>
      <c r="H16" s="77">
        <v>0.0</v>
      </c>
      <c r="I16" s="78">
        <f t="shared" si="3"/>
        <v>0</v>
      </c>
      <c r="J16" s="77">
        <v>38.2</v>
      </c>
      <c r="K16" s="78">
        <f t="shared" si="4"/>
        <v>38.2</v>
      </c>
      <c r="L16" s="55"/>
    </row>
    <row r="17" ht="15.0" customHeight="1">
      <c r="A17" s="79" t="s">
        <v>425</v>
      </c>
      <c r="B17" s="80"/>
      <c r="C17" s="81"/>
      <c r="D17" s="82" t="s">
        <v>426</v>
      </c>
      <c r="E17" s="83">
        <f>SUM(E11:E15)</f>
        <v>1066.9</v>
      </c>
      <c r="F17" s="82" t="s">
        <v>427</v>
      </c>
      <c r="G17" s="83">
        <f>SUM(G11:G15)</f>
        <v>1112.88</v>
      </c>
      <c r="H17" s="82" t="s">
        <v>427</v>
      </c>
      <c r="I17" s="83">
        <f>SUM(I11:I16)</f>
        <v>822.5</v>
      </c>
      <c r="J17" s="82" t="s">
        <v>427</v>
      </c>
      <c r="K17" s="83">
        <f>SUM(K11:K16)</f>
        <v>1052.76</v>
      </c>
      <c r="L17" s="55"/>
    </row>
    <row r="18" ht="17.25" customHeight="1">
      <c r="A18" s="84"/>
      <c r="B18" s="85"/>
      <c r="C18" s="58"/>
      <c r="D18" s="86"/>
      <c r="E18" s="87"/>
      <c r="F18" s="82" t="s">
        <v>427</v>
      </c>
      <c r="G18" s="88"/>
      <c r="H18" s="88"/>
      <c r="I18" s="88"/>
      <c r="J18" s="89"/>
      <c r="K18" s="89"/>
      <c r="L18" s="55"/>
    </row>
    <row r="19" ht="24.75" customHeight="1">
      <c r="A19" s="90" t="s">
        <v>428</v>
      </c>
      <c r="B19" s="91"/>
      <c r="C19" s="91"/>
      <c r="D19" s="91"/>
      <c r="E19" s="91"/>
      <c r="F19" s="91"/>
      <c r="G19" s="91"/>
      <c r="H19" s="91"/>
      <c r="I19" s="91"/>
      <c r="J19" s="92"/>
      <c r="K19" s="92"/>
      <c r="L19" s="55"/>
    </row>
    <row r="20">
      <c r="A20" s="93"/>
      <c r="B20" s="94" t="s">
        <v>429</v>
      </c>
      <c r="D20" s="94"/>
      <c r="E20" s="95"/>
      <c r="F20" s="96"/>
      <c r="G20" s="94"/>
      <c r="I20" s="94"/>
      <c r="K20" s="94"/>
      <c r="L20" s="55"/>
    </row>
    <row r="21" ht="42.0" customHeight="1">
      <c r="A21" s="93"/>
      <c r="B21" s="97"/>
      <c r="D21" s="40" t="s">
        <v>430</v>
      </c>
      <c r="E21" s="4"/>
      <c r="F21" s="4"/>
      <c r="L21" s="55"/>
    </row>
    <row r="22" ht="16.5" customHeight="1">
      <c r="A22" s="93"/>
      <c r="B22" s="96"/>
      <c r="D22" s="96"/>
      <c r="E22" s="96"/>
      <c r="F22" s="96"/>
      <c r="L22" s="55"/>
    </row>
    <row r="23" ht="10.5" customHeight="1">
      <c r="A23" s="93"/>
      <c r="B23" s="96"/>
      <c r="D23" s="96"/>
      <c r="E23" s="96"/>
      <c r="F23" s="96"/>
      <c r="L23" s="55"/>
    </row>
    <row r="24" ht="15.75" customHeight="1">
      <c r="A24" s="93"/>
      <c r="B24" s="40" t="s">
        <v>431</v>
      </c>
      <c r="D24" s="40" t="s">
        <v>431</v>
      </c>
      <c r="L24" s="55"/>
    </row>
    <row r="25" ht="15.75" customHeight="1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98"/>
    </row>
    <row r="26" ht="5.2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F6:G6"/>
    <mergeCell ref="H6:I6"/>
    <mergeCell ref="J6:K6"/>
    <mergeCell ref="D7:E7"/>
    <mergeCell ref="F7:G7"/>
    <mergeCell ref="H7:I7"/>
    <mergeCell ref="J7:K7"/>
    <mergeCell ref="A1:B5"/>
    <mergeCell ref="C2:C4"/>
    <mergeCell ref="D2:E4"/>
    <mergeCell ref="G2:H2"/>
    <mergeCell ref="G4:H4"/>
    <mergeCell ref="A6:B7"/>
    <mergeCell ref="D6:E6"/>
    <mergeCell ref="F9:G9"/>
    <mergeCell ref="H9:I9"/>
    <mergeCell ref="A17:A18"/>
    <mergeCell ref="B18:C18"/>
    <mergeCell ref="A19:I19"/>
    <mergeCell ref="A8:B8"/>
    <mergeCell ref="D8:E8"/>
    <mergeCell ref="F8:G8"/>
    <mergeCell ref="H8:I8"/>
    <mergeCell ref="J8:K8"/>
    <mergeCell ref="A9:B9"/>
    <mergeCell ref="D9:E9"/>
    <mergeCell ref="J9:K9"/>
  </mergeCells>
  <hyperlinks>
    <hyperlink r:id="rId1" ref="D8"/>
    <hyperlink r:id="rId2" ref="F8"/>
    <hyperlink r:id="rId3" ref="H8"/>
    <hyperlink r:id="rId4" ref="J8"/>
    <hyperlink r:id="rId5" ref="D9"/>
    <hyperlink r:id="rId6" ref="F9"/>
    <hyperlink r:id="rId7" ref="H9"/>
    <hyperlink r:id="rId8" ref="J9"/>
  </hyperlinks>
  <printOptions/>
  <pageMargins bottom="0.3937007874015748" footer="0.0" header="0.0" left="0.3937007874015748" right="0.3937007874015748" top="0.3937007874015748"/>
  <pageSetup paperSize="9" orientation="landscape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29"/>
    <col customWidth="1" min="3" max="3" width="39.57"/>
  </cols>
  <sheetData>
    <row r="1">
      <c r="A1" s="99" t="s">
        <v>432</v>
      </c>
      <c r="B1" s="99" t="s">
        <v>433</v>
      </c>
      <c r="C1" s="99" t="s">
        <v>434</v>
      </c>
    </row>
    <row r="2">
      <c r="A2" s="100" t="s">
        <v>89</v>
      </c>
      <c r="B2" s="100" t="s">
        <v>435</v>
      </c>
      <c r="C2" s="100" t="s">
        <v>436</v>
      </c>
    </row>
    <row r="3">
      <c r="A3" s="100" t="s">
        <v>437</v>
      </c>
      <c r="B3" s="100" t="s">
        <v>438</v>
      </c>
      <c r="C3" s="100" t="s">
        <v>439</v>
      </c>
    </row>
    <row r="4">
      <c r="A4" s="100" t="s">
        <v>440</v>
      </c>
      <c r="B4" s="100" t="s">
        <v>441</v>
      </c>
      <c r="C4" s="100" t="s">
        <v>436</v>
      </c>
    </row>
    <row r="5">
      <c r="A5" s="100" t="s">
        <v>442</v>
      </c>
      <c r="B5" s="100" t="s">
        <v>443</v>
      </c>
      <c r="C5" s="100" t="s">
        <v>444</v>
      </c>
    </row>
    <row r="6">
      <c r="A6" s="100" t="s">
        <v>445</v>
      </c>
      <c r="B6" s="100" t="s">
        <v>446</v>
      </c>
      <c r="C6" s="100" t="s">
        <v>447</v>
      </c>
    </row>
    <row r="7">
      <c r="A7" s="100" t="s">
        <v>448</v>
      </c>
      <c r="B7" s="100" t="s">
        <v>449</v>
      </c>
      <c r="C7" s="100" t="s">
        <v>436</v>
      </c>
    </row>
    <row r="8">
      <c r="A8" s="100" t="s">
        <v>450</v>
      </c>
      <c r="B8" s="100" t="s">
        <v>451</v>
      </c>
      <c r="C8" s="100" t="s">
        <v>439</v>
      </c>
    </row>
    <row r="9">
      <c r="A9" s="100" t="s">
        <v>452</v>
      </c>
      <c r="B9" s="100" t="s">
        <v>453</v>
      </c>
      <c r="C9" s="100" t="s">
        <v>447</v>
      </c>
    </row>
    <row r="10">
      <c r="A10" s="100" t="s">
        <v>454</v>
      </c>
      <c r="B10" s="100" t="s">
        <v>455</v>
      </c>
      <c r="C10" s="100" t="s">
        <v>439</v>
      </c>
    </row>
    <row r="11">
      <c r="A11" s="100" t="s">
        <v>456</v>
      </c>
      <c r="B11" s="100" t="s">
        <v>457</v>
      </c>
      <c r="C11" s="100" t="s">
        <v>439</v>
      </c>
    </row>
    <row r="12">
      <c r="A12" s="100" t="s">
        <v>458</v>
      </c>
      <c r="B12" s="100" t="s">
        <v>459</v>
      </c>
      <c r="C12" s="100" t="s">
        <v>460</v>
      </c>
    </row>
    <row r="13">
      <c r="A13" s="100" t="s">
        <v>461</v>
      </c>
      <c r="B13" s="100" t="s">
        <v>462</v>
      </c>
      <c r="C13" s="100" t="s">
        <v>444</v>
      </c>
    </row>
    <row r="14">
      <c r="A14" s="100" t="s">
        <v>463</v>
      </c>
      <c r="B14" s="100" t="s">
        <v>464</v>
      </c>
      <c r="C14" s="100" t="s">
        <v>444</v>
      </c>
    </row>
    <row r="15">
      <c r="A15" s="100" t="s">
        <v>465</v>
      </c>
      <c r="B15" s="100" t="s">
        <v>466</v>
      </c>
      <c r="C15" s="100" t="s">
        <v>444</v>
      </c>
    </row>
    <row r="16">
      <c r="A16" s="100" t="s">
        <v>467</v>
      </c>
      <c r="B16" s="100" t="s">
        <v>468</v>
      </c>
      <c r="C16" s="100" t="s">
        <v>439</v>
      </c>
    </row>
    <row r="17">
      <c r="A17" s="100" t="s">
        <v>469</v>
      </c>
      <c r="B17" s="100" t="s">
        <v>470</v>
      </c>
      <c r="C17" s="100" t="s">
        <v>471</v>
      </c>
    </row>
    <row r="18">
      <c r="A18" s="100" t="s">
        <v>472</v>
      </c>
      <c r="B18" s="100" t="s">
        <v>473</v>
      </c>
      <c r="C18" s="100" t="s">
        <v>447</v>
      </c>
    </row>
    <row r="19">
      <c r="A19" s="100" t="s">
        <v>474</v>
      </c>
      <c r="B19" s="100" t="s">
        <v>475</v>
      </c>
      <c r="C19" s="100" t="s">
        <v>436</v>
      </c>
    </row>
    <row r="20">
      <c r="A20" s="100" t="s">
        <v>476</v>
      </c>
      <c r="B20" s="100" t="s">
        <v>477</v>
      </c>
      <c r="C20" s="100" t="s">
        <v>436</v>
      </c>
    </row>
    <row r="21">
      <c r="A21" s="100" t="s">
        <v>478</v>
      </c>
      <c r="B21" s="100" t="s">
        <v>479</v>
      </c>
      <c r="C21" s="100" t="s">
        <v>436</v>
      </c>
    </row>
    <row r="22">
      <c r="A22" s="100" t="s">
        <v>480</v>
      </c>
      <c r="B22" s="100" t="s">
        <v>481</v>
      </c>
      <c r="C22" s="100" t="s">
        <v>436</v>
      </c>
    </row>
    <row r="23">
      <c r="A23" s="100" t="s">
        <v>482</v>
      </c>
      <c r="B23" s="100" t="s">
        <v>483</v>
      </c>
      <c r="C23" s="100" t="s">
        <v>436</v>
      </c>
    </row>
    <row r="24">
      <c r="A24" s="100" t="s">
        <v>484</v>
      </c>
      <c r="B24" s="100" t="s">
        <v>485</v>
      </c>
      <c r="C24" s="100" t="s">
        <v>436</v>
      </c>
    </row>
    <row r="25">
      <c r="A25" s="100" t="s">
        <v>486</v>
      </c>
      <c r="B25" s="100" t="s">
        <v>487</v>
      </c>
      <c r="C25" s="100" t="s">
        <v>436</v>
      </c>
    </row>
    <row r="26">
      <c r="A26" s="100" t="s">
        <v>486</v>
      </c>
      <c r="B26" s="100" t="s">
        <v>488</v>
      </c>
      <c r="C26" s="100" t="s">
        <v>489</v>
      </c>
    </row>
    <row r="27">
      <c r="A27" s="100" t="s">
        <v>166</v>
      </c>
      <c r="B27" s="100" t="s">
        <v>490</v>
      </c>
      <c r="C27" s="100" t="s">
        <v>460</v>
      </c>
    </row>
    <row r="28">
      <c r="A28" s="100" t="s">
        <v>181</v>
      </c>
      <c r="B28" s="100" t="s">
        <v>491</v>
      </c>
      <c r="C28" s="100" t="s">
        <v>460</v>
      </c>
    </row>
    <row r="29">
      <c r="A29" s="100" t="s">
        <v>193</v>
      </c>
      <c r="B29" s="100" t="s">
        <v>492</v>
      </c>
      <c r="C29" s="100" t="s">
        <v>460</v>
      </c>
    </row>
    <row r="30">
      <c r="A30" s="100" t="s">
        <v>201</v>
      </c>
      <c r="B30" s="100" t="s">
        <v>493</v>
      </c>
      <c r="C30" s="100" t="s">
        <v>460</v>
      </c>
    </row>
    <row r="31">
      <c r="A31" s="100" t="s">
        <v>211</v>
      </c>
      <c r="B31" s="100" t="s">
        <v>494</v>
      </c>
      <c r="C31" s="100" t="s">
        <v>460</v>
      </c>
    </row>
    <row r="32">
      <c r="A32" s="100" t="s">
        <v>222</v>
      </c>
      <c r="B32" s="100" t="s">
        <v>495</v>
      </c>
      <c r="C32" s="100" t="s">
        <v>460</v>
      </c>
    </row>
    <row r="33">
      <c r="A33" s="100" t="s">
        <v>233</v>
      </c>
      <c r="B33" s="100" t="s">
        <v>496</v>
      </c>
      <c r="C33" s="100" t="s">
        <v>436</v>
      </c>
    </row>
    <row r="34">
      <c r="A34" s="100" t="s">
        <v>242</v>
      </c>
      <c r="B34" s="100" t="s">
        <v>497</v>
      </c>
      <c r="C34" s="100" t="s">
        <v>460</v>
      </c>
    </row>
    <row r="35">
      <c r="A35" s="100" t="s">
        <v>254</v>
      </c>
      <c r="B35" s="100" t="s">
        <v>498</v>
      </c>
      <c r="C35" s="100" t="s">
        <v>460</v>
      </c>
    </row>
    <row r="36">
      <c r="A36" s="100" t="s">
        <v>262</v>
      </c>
      <c r="B36" s="100" t="s">
        <v>499</v>
      </c>
      <c r="C36" s="100" t="s">
        <v>460</v>
      </c>
    </row>
    <row r="37">
      <c r="A37" s="100" t="s">
        <v>13</v>
      </c>
      <c r="B37" s="100" t="s">
        <v>500</v>
      </c>
      <c r="C37" s="100" t="s">
        <v>436</v>
      </c>
    </row>
    <row r="38">
      <c r="A38" s="100" t="s">
        <v>501</v>
      </c>
      <c r="B38" s="100" t="s">
        <v>502</v>
      </c>
      <c r="C38" s="100" t="s">
        <v>439</v>
      </c>
    </row>
    <row r="39">
      <c r="A39" s="100" t="s">
        <v>503</v>
      </c>
      <c r="B39" s="100" t="s">
        <v>504</v>
      </c>
      <c r="C39" s="100" t="s">
        <v>436</v>
      </c>
    </row>
    <row r="40">
      <c r="A40" s="100" t="s">
        <v>505</v>
      </c>
      <c r="B40" s="100" t="s">
        <v>506</v>
      </c>
      <c r="C40" s="100" t="s">
        <v>507</v>
      </c>
    </row>
    <row r="41">
      <c r="A41" s="100" t="s">
        <v>508</v>
      </c>
      <c r="B41" s="100" t="s">
        <v>509</v>
      </c>
      <c r="C41" s="100" t="s">
        <v>510</v>
      </c>
    </row>
    <row r="42">
      <c r="A42" s="100" t="s">
        <v>511</v>
      </c>
      <c r="B42" s="100" t="s">
        <v>512</v>
      </c>
      <c r="C42" s="100" t="s">
        <v>436</v>
      </c>
    </row>
    <row r="43">
      <c r="A43" s="100" t="s">
        <v>513</v>
      </c>
      <c r="B43" s="100" t="s">
        <v>514</v>
      </c>
      <c r="C43" s="100" t="s">
        <v>436</v>
      </c>
    </row>
    <row r="44">
      <c r="A44" s="100" t="s">
        <v>515</v>
      </c>
      <c r="B44" s="100" t="s">
        <v>516</v>
      </c>
      <c r="C44" s="100" t="s">
        <v>460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48.86"/>
    <col customWidth="1" min="3" max="26" width="8.71"/>
  </cols>
  <sheetData>
    <row r="1" ht="19.5" customHeight="1">
      <c r="A1" s="1" t="s">
        <v>517</v>
      </c>
      <c r="B1" s="3"/>
    </row>
    <row r="2" ht="19.5" customHeight="1">
      <c r="A2" s="6" t="s">
        <v>518</v>
      </c>
      <c r="B2" s="6" t="s">
        <v>519</v>
      </c>
    </row>
    <row r="3" ht="19.5" customHeight="1">
      <c r="A3" s="6" t="s">
        <v>520</v>
      </c>
      <c r="B3" s="6" t="s">
        <v>521</v>
      </c>
    </row>
    <row r="4" ht="19.5" customHeight="1">
      <c r="A4" s="6" t="s">
        <v>522</v>
      </c>
      <c r="B4" s="101">
        <v>25066.0</v>
      </c>
    </row>
    <row r="5" ht="19.5" customHeight="1">
      <c r="A5" s="102" t="s">
        <v>523</v>
      </c>
      <c r="B5" s="6" t="s">
        <v>524</v>
      </c>
    </row>
    <row r="6" ht="19.5" customHeight="1">
      <c r="A6" s="103"/>
      <c r="B6" s="6" t="s">
        <v>525</v>
      </c>
    </row>
    <row r="8">
      <c r="A8" s="104" t="s">
        <v>526</v>
      </c>
    </row>
    <row r="9">
      <c r="A9" s="104" t="s">
        <v>13</v>
      </c>
      <c r="B9" s="104" t="s">
        <v>527</v>
      </c>
    </row>
    <row r="10">
      <c r="A10" s="104" t="s">
        <v>501</v>
      </c>
      <c r="B10" s="104" t="s">
        <v>528</v>
      </c>
    </row>
    <row r="11">
      <c r="A11" s="104" t="s">
        <v>503</v>
      </c>
      <c r="B11" s="105" t="s">
        <v>528</v>
      </c>
    </row>
    <row r="12">
      <c r="A12" s="104" t="s">
        <v>474</v>
      </c>
      <c r="B12" s="104" t="s">
        <v>529</v>
      </c>
    </row>
    <row r="13">
      <c r="A13" s="104" t="s">
        <v>476</v>
      </c>
      <c r="B13" s="104" t="s">
        <v>530</v>
      </c>
    </row>
    <row r="14">
      <c r="A14" s="104" t="s">
        <v>531</v>
      </c>
      <c r="B14" s="104" t="s">
        <v>532</v>
      </c>
    </row>
    <row r="15">
      <c r="A15" s="104" t="s">
        <v>533</v>
      </c>
      <c r="B15" s="104" t="s">
        <v>534</v>
      </c>
    </row>
    <row r="16">
      <c r="A16" s="104" t="s">
        <v>535</v>
      </c>
      <c r="B16" s="104" t="s">
        <v>536</v>
      </c>
    </row>
    <row r="17">
      <c r="A17" s="104" t="s">
        <v>537</v>
      </c>
      <c r="B17" s="104" t="s">
        <v>538</v>
      </c>
    </row>
    <row r="18">
      <c r="A18" s="104" t="s">
        <v>478</v>
      </c>
      <c r="B18" s="104" t="s">
        <v>539</v>
      </c>
    </row>
    <row r="19">
      <c r="A19" s="104" t="s">
        <v>480</v>
      </c>
      <c r="B19" s="104" t="s">
        <v>540</v>
      </c>
    </row>
    <row r="20">
      <c r="A20" s="104" t="s">
        <v>482</v>
      </c>
      <c r="B20" s="104" t="s">
        <v>541</v>
      </c>
    </row>
    <row r="21" ht="15.75" customHeight="1">
      <c r="A21" s="104" t="s">
        <v>542</v>
      </c>
      <c r="B21" s="104" t="s">
        <v>543</v>
      </c>
    </row>
    <row r="22" ht="15.75" customHeight="1">
      <c r="A22" s="104" t="s">
        <v>511</v>
      </c>
      <c r="B22" s="104" t="s">
        <v>544</v>
      </c>
    </row>
    <row r="23" ht="15.75" customHeight="1">
      <c r="A23" s="104" t="s">
        <v>484</v>
      </c>
      <c r="B23" s="104" t="s">
        <v>545</v>
      </c>
    </row>
    <row r="24" ht="15.75" customHeight="1">
      <c r="A24" s="104" t="s">
        <v>486</v>
      </c>
      <c r="B24" s="104" t="s">
        <v>546</v>
      </c>
    </row>
    <row r="25" ht="15.75" customHeight="1">
      <c r="A25" s="104" t="s">
        <v>513</v>
      </c>
      <c r="B25" s="104" t="s">
        <v>547</v>
      </c>
    </row>
    <row r="26" ht="15.75" customHeight="1">
      <c r="A26" s="104" t="s">
        <v>515</v>
      </c>
      <c r="B26" s="104" t="s">
        <v>548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5:A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2022-05-19T14:14:55Z</dcterms:created>
  <dc:creator>Selma Vicentim</dc:creator>
</cp:coreProperties>
</file>